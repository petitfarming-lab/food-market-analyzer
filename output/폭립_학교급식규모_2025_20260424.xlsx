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교급식_월별실측" sheetId="1" state="visible" r:id="rId1"/>
    <sheet name="시장규모_환산" sheetId="2" state="visible" r:id="rId2"/>
    <sheet name="경쟁사_월별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sz val="9"/>
    </font>
    <font>
      <name val="맑은 고딕"/>
      <b val="1"/>
      <color rgb="001F4E79"/>
      <sz val="10"/>
    </font>
    <font>
      <name val="맑은 고딕"/>
      <b val="1"/>
      <color rgb="0037562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2E5F8E"/>
      </patternFill>
    </fill>
    <fill>
      <patternFill patternType="solid">
        <fgColor rgb="00D6E4F0"/>
      </patternFill>
    </fill>
    <fill>
      <patternFill patternType="solid">
        <fgColor rgb="00EBF5E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FFE8E8"/>
      </patternFill>
    </fill>
    <fill>
      <patternFill patternType="solid">
        <fgColor rgb="00E8FFE8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폭립  월별 전국 학교급식 시장규모 환산  (2025 vs 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'학교급식_월별실측'!H5</f>
            </strRef>
          </tx>
          <spPr>
            <a:solidFill>
              <a:srgbClr val="2E5F8E"/>
            </a:solidFill>
            <a:ln>
              <a:prstDash val="solid"/>
            </a:ln>
          </spPr>
          <cat>
            <numRef>
              <f>'학교급식_월별실측'!$B$6:$B$17</f>
            </numRef>
          </cat>
          <val>
            <numRef>
              <f>'학교급식_월별실측'!$H$6:$H$17</f>
            </numRef>
          </val>
        </ser>
        <ser>
          <idx val="1"/>
          <order val="1"/>
          <tx>
            <strRef>
              <f>'학교급식_월별실측'!I5</f>
            </strRef>
          </tx>
          <spPr>
            <a:solidFill>
              <a:srgbClr val="E8A838"/>
            </a:solidFill>
            <a:ln>
              <a:prstDash val="solid"/>
            </a:ln>
          </spPr>
          <cat>
            <numRef>
              <f>'학교급식_월별실측'!$B$6:$B$17</f>
            </numRef>
          </cat>
          <val>
            <numRef>
              <f>'학교급식_월별실측'!$I$6:$I$17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전국 학교급식 환산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0" customWidth="1" min="4" max="4"/>
    <col width="20" customWidth="1" min="5" max="5"/>
    <col width="14" customWidth="1" min="6" max="6"/>
    <col width="42" customWidth="1" min="7" max="7"/>
    <col width="18" customWidth="1" min="8" max="8"/>
    <col width="18" customWidth="1" min="9" max="9"/>
  </cols>
  <sheetData>
    <row r="1" ht="38" customHeight="1">
      <c r="B1" s="1" t="inlineStr">
        <is>
          <t>【폭립】  학교급식 FoodnBid 월별 낙찰금액  (2025년 vs 2024년)</t>
        </is>
      </c>
    </row>
    <row r="2" ht="20" customHeight="1">
      <c r="B2" s="2" t="inlineStr">
        <is>
          <t>수도권 FoodnBid 연간</t>
        </is>
      </c>
      <c r="C2" s="2" t="inlineStr">
        <is>
          <t>수도권 학교급식 추정</t>
        </is>
      </c>
      <c r="D2" s="3" t="inlineStr">
        <is>
          <t>전국 학교급식 추정</t>
        </is>
      </c>
      <c r="E2" s="4" t="inlineStr">
        <is>
          <t>전국 급식 전체</t>
        </is>
      </c>
      <c r="F2" s="5" t="inlineStr">
        <is>
          <t>2024년 전국급식</t>
        </is>
      </c>
      <c r="G2" s="4" t="inlineStr">
        <is>
          <t>전년 대비 성장</t>
        </is>
      </c>
    </row>
    <row r="3" ht="26" customHeight="1">
      <c r="B3" s="6" t="inlineStr">
        <is>
          <t>25.82억원</t>
        </is>
      </c>
      <c r="C3" s="6" t="inlineStr">
        <is>
          <t>43.03억원</t>
        </is>
      </c>
      <c r="D3" s="7" t="inlineStr">
        <is>
          <t>106.3억원</t>
        </is>
      </c>
      <c r="E3" s="8" t="inlineStr">
        <is>
          <t>약 130억원</t>
        </is>
      </c>
      <c r="F3" s="9" t="inlineStr">
        <is>
          <t>115.4억원</t>
        </is>
      </c>
      <c r="G3" s="8" t="inlineStr">
        <is>
          <t>▼ 8.0%</t>
        </is>
      </c>
    </row>
    <row r="4" ht="14" customHeight="1"/>
    <row r="5" ht="36" customHeight="1">
      <c r="B5" s="10" t="inlineStr">
        <is>
          <t>월</t>
        </is>
      </c>
      <c r="C5" s="10" t="inlineStr">
        <is>
          <t>FoodnBid 실측
(2025, 수도권, 원)</t>
        </is>
      </c>
      <c r="D5" s="10" t="inlineStr">
        <is>
          <t>비중
(%)</t>
        </is>
      </c>
      <c r="E5" s="10" t="inlineStr">
        <is>
          <t>FoodnBid 실측
(2024, 수도권, 원)</t>
        </is>
      </c>
      <c r="F5" s="10" t="inlineStr">
        <is>
          <t>전년
동월 대비</t>
        </is>
      </c>
      <c r="G5" s="10" t="inlineStr">
        <is>
          <t>경쟁사 TOP 3 (낙찰금액)</t>
        </is>
      </c>
      <c r="H5" s="5" t="inlineStr">
        <is>
          <t>2025 전국학교급식 환산</t>
        </is>
      </c>
      <c r="I5" s="5" t="inlineStr">
        <is>
          <t>2024 전국학교급식 환산</t>
        </is>
      </c>
    </row>
    <row r="6" ht="20" customHeight="1">
      <c r="B6" s="11" t="inlineStr">
        <is>
          <t>1월 ★</t>
        </is>
      </c>
      <c r="C6" s="12" t="n">
        <v>3904473</v>
      </c>
      <c r="D6" s="13" t="n">
        <v>0.002</v>
      </c>
      <c r="E6" s="12" t="n">
        <v>5146508</v>
      </c>
      <c r="F6" s="14" t="inlineStr">
        <is>
          <t>▼ 24.1%</t>
        </is>
      </c>
      <c r="G6" s="15" t="inlineStr">
        <is>
          <t>① 하늘빛 3,078,000원 | ② 대상 660,000원 | ③ 스마일푸드야미 111,600원</t>
        </is>
      </c>
      <c r="H6" s="16" t="n">
        <v>16067790</v>
      </c>
      <c r="I6" s="16" t="n">
        <v>21179045</v>
      </c>
    </row>
    <row r="7" ht="20" customHeight="1">
      <c r="B7" s="17" t="inlineStr">
        <is>
          <t>2월</t>
        </is>
      </c>
      <c r="C7" s="18" t="n">
        <v>126782581</v>
      </c>
      <c r="D7" s="19" t="n">
        <v>0.049</v>
      </c>
      <c r="E7" s="18" t="n">
        <v>110796809</v>
      </c>
      <c r="F7" s="20" t="inlineStr">
        <is>
          <t>▲ 14.4%</t>
        </is>
      </c>
      <c r="G7" s="21" t="inlineStr">
        <is>
          <t>① 하늘빛 30,518,181원 | ② 레인보우 17,229,874원 | ③ 파르팜 16,612,155원</t>
        </is>
      </c>
      <c r="H7" s="16" t="n">
        <v>521739016</v>
      </c>
      <c r="I7" s="16" t="n">
        <v>455953946</v>
      </c>
    </row>
    <row r="8" ht="20" customHeight="1">
      <c r="B8" s="17" t="inlineStr">
        <is>
          <t>3월</t>
        </is>
      </c>
      <c r="C8" s="18" t="n">
        <v>160937125</v>
      </c>
      <c r="D8" s="19" t="n">
        <v>0.062</v>
      </c>
      <c r="E8" s="18" t="n">
        <v>125772560</v>
      </c>
      <c r="F8" s="20" t="inlineStr">
        <is>
          <t>▲ 28.0%</t>
        </is>
      </c>
      <c r="G8" s="21" t="inlineStr">
        <is>
          <t>① 대상 43,116,260원 | ② 하늘빛 31,846,716원 | ③ 크로바 15,959,210원</t>
        </is>
      </c>
      <c r="H8" s="16" t="n">
        <v>662292695</v>
      </c>
      <c r="I8" s="16" t="n">
        <v>517582551</v>
      </c>
    </row>
    <row r="9" ht="20" customHeight="1">
      <c r="B9" s="17" t="inlineStr">
        <is>
          <t>4월</t>
        </is>
      </c>
      <c r="C9" s="18" t="n">
        <v>185337435</v>
      </c>
      <c r="D9" s="19" t="n">
        <v>0.07200000000000001</v>
      </c>
      <c r="E9" s="18" t="n">
        <v>297844128</v>
      </c>
      <c r="F9" s="14" t="inlineStr">
        <is>
          <t>▼ 37.8%</t>
        </is>
      </c>
      <c r="G9" s="21" t="inlineStr">
        <is>
          <t>① 참조은 24,890,861원 | ② 하늘빛 24,828,282원 | ③ 한올푸드 19,128,900원</t>
        </is>
      </c>
      <c r="H9" s="16" t="n">
        <v>762705493</v>
      </c>
      <c r="I9" s="16" t="n">
        <v>1225696000</v>
      </c>
    </row>
    <row r="10" ht="20" customHeight="1">
      <c r="B10" s="17" t="inlineStr">
        <is>
          <t>5월</t>
        </is>
      </c>
      <c r="C10" s="18" t="n">
        <v>141436885</v>
      </c>
      <c r="D10" s="19" t="n">
        <v>0.055</v>
      </c>
      <c r="E10" s="18" t="n">
        <v>146028078</v>
      </c>
      <c r="F10" s="14" t="inlineStr">
        <is>
          <t>▼ 3.1%</t>
        </is>
      </c>
      <c r="G10" s="21" t="inlineStr">
        <is>
          <t>① 참조은 20,689,920원 | ② 레인보우 18,520,920원 | ③ 하늘빛 17,245,035원</t>
        </is>
      </c>
      <c r="H10" s="16" t="n">
        <v>582044794</v>
      </c>
      <c r="I10" s="16" t="n">
        <v>600938592</v>
      </c>
    </row>
    <row r="11" ht="20" customHeight="1">
      <c r="B11" s="17" t="inlineStr">
        <is>
          <t>6월</t>
        </is>
      </c>
      <c r="C11" s="18" t="n">
        <v>242880498</v>
      </c>
      <c r="D11" s="19" t="n">
        <v>0.094</v>
      </c>
      <c r="E11" s="18" t="n">
        <v>215087240</v>
      </c>
      <c r="F11" s="20" t="inlineStr">
        <is>
          <t>▲ 12.9%</t>
        </is>
      </c>
      <c r="G11" s="21" t="inlineStr">
        <is>
          <t>① 하늘빛 50,024,952원 | ② 대상 43,938,165원 | ③ 크로바 36,800,372원</t>
        </is>
      </c>
      <c r="H11" s="16" t="n">
        <v>999508222</v>
      </c>
      <c r="I11" s="16" t="n">
        <v>885132674</v>
      </c>
    </row>
    <row r="12" ht="20" customHeight="1">
      <c r="B12" s="11" t="inlineStr">
        <is>
          <t>7월 ★</t>
        </is>
      </c>
      <c r="C12" s="12" t="n">
        <v>17159762</v>
      </c>
      <c r="D12" s="13" t="n">
        <v>0.006999999999999999</v>
      </c>
      <c r="E12" s="12" t="n">
        <v>21039769</v>
      </c>
      <c r="F12" s="14" t="inlineStr">
        <is>
          <t>▼ 18.4%</t>
        </is>
      </c>
      <c r="G12" s="15" t="inlineStr">
        <is>
          <t>① 참조은 5,702,400원 | ② 하늘빛 2,885,625원 | ③ 씨제이 2,400,300원</t>
        </is>
      </c>
      <c r="H12" s="16" t="n">
        <v>70616304</v>
      </c>
      <c r="I12" s="16" t="n">
        <v>86583411</v>
      </c>
    </row>
    <row r="13" ht="20" customHeight="1">
      <c r="B13" s="17" t="inlineStr">
        <is>
          <t>8월</t>
        </is>
      </c>
      <c r="C13" s="18" t="n">
        <v>234083296</v>
      </c>
      <c r="D13" s="19" t="n">
        <v>0.091</v>
      </c>
      <c r="E13" s="18" t="n">
        <v>165738672</v>
      </c>
      <c r="F13" s="20" t="inlineStr">
        <is>
          <t>▲ 41.2%</t>
        </is>
      </c>
      <c r="G13" s="21" t="inlineStr">
        <is>
          <t>① 한올푸드 34,535,050원 | ② 씨제이 25,123,800원 | ③ 하늘빛 24,250,671원</t>
        </is>
      </c>
      <c r="H13" s="16" t="n">
        <v>963305744</v>
      </c>
      <c r="I13" s="16" t="n">
        <v>682052148</v>
      </c>
    </row>
    <row r="14" ht="20" customHeight="1">
      <c r="B14" s="17" t="inlineStr">
        <is>
          <t>9월</t>
        </is>
      </c>
      <c r="C14" s="18" t="n">
        <v>262476426</v>
      </c>
      <c r="D14" s="19" t="n">
        <v>0.102</v>
      </c>
      <c r="E14" s="18" t="n">
        <v>237027481</v>
      </c>
      <c r="F14" s="20" t="inlineStr">
        <is>
          <t>▲ 10.7%</t>
        </is>
      </c>
      <c r="G14" s="21" t="inlineStr">
        <is>
          <t>① 하늘빛 64,049,794원 | ② 한올푸드 33,133,136원 | ③ 대상 32,284,945원</t>
        </is>
      </c>
      <c r="H14" s="16" t="n">
        <v>1080149901</v>
      </c>
      <c r="I14" s="16" t="n">
        <v>975421732</v>
      </c>
    </row>
    <row r="15" ht="20" customHeight="1">
      <c r="B15" s="17" t="inlineStr">
        <is>
          <t>10월</t>
        </is>
      </c>
      <c r="C15" s="18" t="n">
        <v>346379408</v>
      </c>
      <c r="D15" s="19" t="n">
        <v>0.134</v>
      </c>
      <c r="E15" s="18" t="n">
        <v>440635048</v>
      </c>
      <c r="F15" s="14" t="inlineStr">
        <is>
          <t>▼ 21.4%</t>
        </is>
      </c>
      <c r="G15" s="21" t="inlineStr">
        <is>
          <t>① 하늘빛 60,426,918원 | ② 한올푸드 55,770,692원 | ③ 참조은 41,500,224원</t>
        </is>
      </c>
      <c r="H15" s="16" t="n">
        <v>1425429662</v>
      </c>
      <c r="I15" s="16" t="n">
        <v>1813312954</v>
      </c>
    </row>
    <row r="16" ht="20" customHeight="1">
      <c r="B16" s="17" t="inlineStr">
        <is>
          <t>11월</t>
        </is>
      </c>
      <c r="C16" s="22" t="n">
        <v>849425876</v>
      </c>
      <c r="D16" s="19" t="n">
        <v>0.329</v>
      </c>
      <c r="E16" s="18" t="n">
        <v>1019721358</v>
      </c>
      <c r="F16" s="14" t="inlineStr">
        <is>
          <t>▼ 16.7%</t>
        </is>
      </c>
      <c r="G16" s="21" t="inlineStr">
        <is>
          <t>① 하늘빛 127,472,049원 | ② 한올푸드 108,108,468원 | ③ 참조은 88,164,000원</t>
        </is>
      </c>
      <c r="H16" s="16" t="n">
        <v>3495579736</v>
      </c>
      <c r="I16" s="16" t="n">
        <v>4196384189</v>
      </c>
    </row>
    <row r="17" ht="20" customHeight="1">
      <c r="B17" s="11" t="inlineStr">
        <is>
          <t>12월 ★</t>
        </is>
      </c>
      <c r="C17" s="12" t="n">
        <v>11088283</v>
      </c>
      <c r="D17" s="13" t="n">
        <v>0.004</v>
      </c>
      <c r="E17" s="12" t="n">
        <v>20213820</v>
      </c>
      <c r="F17" s="14" t="inlineStr">
        <is>
          <t>▼ 45.1%</t>
        </is>
      </c>
      <c r="G17" s="15" t="inlineStr">
        <is>
          <t>① 참조은 3,847,680원 | ② 파르팜 3,625,675원 | ③ 씨제이 1,313,736원</t>
        </is>
      </c>
      <c r="H17" s="16" t="n">
        <v>45630794</v>
      </c>
      <c r="I17" s="16" t="n">
        <v>83184444</v>
      </c>
    </row>
    <row r="18" ht="24" customHeight="1">
      <c r="B18" s="7" t="inlineStr">
        <is>
          <t>연간 합계</t>
        </is>
      </c>
      <c r="C18" s="23" t="n">
        <v>2581892048</v>
      </c>
      <c r="D18" s="24" t="n">
        <v>1</v>
      </c>
      <c r="E18" s="23" t="n">
        <v>2805051471</v>
      </c>
      <c r="F18" s="25" t="inlineStr">
        <is>
          <t>연간 25.82억원  |  전년(2024) 28.05억원  (수도권 FoodnBid 기준)</t>
        </is>
      </c>
      <c r="H18" s="23" t="n">
        <v>10625070155</v>
      </c>
      <c r="I18" s="23" t="n">
        <v>11543421691</v>
      </c>
    </row>
    <row r="19" ht="14" customHeight="1">
      <c r="B19" s="26" t="inlineStr">
        <is>
          <t>※ 출처: FoodnBid info.foodnbid.com 월별예상금액 (수도권·서울·경기·인천 학교) | 수집일: 2026-04-24</t>
        </is>
      </c>
    </row>
  </sheetData>
  <mergeCells count="3">
    <mergeCell ref="B1:I1"/>
    <mergeCell ref="B19:I19"/>
    <mergeCell ref="F18:G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20" customWidth="1" min="4" max="4"/>
    <col width="30" customWidth="1" min="5" max="5"/>
  </cols>
  <sheetData>
    <row r="1" ht="38" customHeight="1">
      <c r="B1" s="1" t="inlineStr">
        <is>
          <t>【폭립】  학교급식 시장 규모 환산  (2025년 기준)</t>
        </is>
      </c>
    </row>
    <row r="2" ht="14" customHeight="1"/>
    <row r="3" ht="28" customHeight="1">
      <c r="B3" s="27" t="inlineStr">
        <is>
          <t>전국 급식 전체 (최종 추정)</t>
        </is>
      </c>
      <c r="D3" s="8" t="inlineStr">
        <is>
          <t>약 130억원</t>
        </is>
      </c>
    </row>
    <row r="4" ht="28" customHeight="1">
      <c r="B4" s="25" t="inlineStr">
        <is>
          <t>전국 학교급식</t>
        </is>
      </c>
      <c r="D4" s="7" t="inlineStr">
        <is>
          <t>106.3억원</t>
        </is>
      </c>
    </row>
    <row r="5" ht="28" customHeight="1">
      <c r="B5" s="28" t="inlineStr">
        <is>
          <t>수도권 학교급식</t>
        </is>
      </c>
      <c r="D5" s="6" t="inlineStr">
        <is>
          <t>43.03억원</t>
        </is>
      </c>
    </row>
    <row r="6" ht="28" customHeight="1">
      <c r="B6" s="28" t="inlineStr">
        <is>
          <t>FoodnBid 실측 (수도권)</t>
        </is>
      </c>
      <c r="D6" s="6" t="inlineStr">
        <is>
          <t>25.82억원</t>
        </is>
      </c>
    </row>
    <row r="8" ht="14" customHeight="1"/>
    <row r="9" ht="30" customHeight="1">
      <c r="B9" s="10" t="inlineStr">
        <is>
          <t>계산 단계</t>
        </is>
      </c>
      <c r="C9" s="10" t="inlineStr">
        <is>
          <t>수치 (원)</t>
        </is>
      </c>
      <c r="D9" s="10" t="inlineStr">
        <is>
          <t>억원 환산</t>
        </is>
      </c>
      <c r="E9" s="10" t="inlineStr">
        <is>
          <t>산출 근거·가정</t>
        </is>
      </c>
    </row>
    <row r="10" ht="28" customHeight="1">
      <c r="B10" s="29" t="inlineStr">
        <is>
          <t>① 수도권 FoodnBid 연간 실측</t>
        </is>
      </c>
      <c r="C10" s="18" t="n">
        <v>2581892048</v>
      </c>
      <c r="D10" s="7" t="inlineStr">
        <is>
          <t>25.82억원</t>
        </is>
      </c>
      <c r="E10" s="30" t="inlineStr">
        <is>
          <t>FoodnBid info.foodnbid.com 실측 (2025년 1~12월)</t>
        </is>
      </c>
    </row>
    <row r="11" ht="28" customHeight="1">
      <c r="B11" s="29" t="inlineStr">
        <is>
          <t>② ÷ FoodnBid 커버리지 60%  →  수도권 학교급식 시장</t>
        </is>
      </c>
      <c r="C11" s="18" t="n">
        <v>4303153413</v>
      </c>
      <c r="D11" s="7" t="inlineStr">
        <is>
          <t>43.03억원</t>
        </is>
      </c>
      <c r="E11" s="30" t="inlineStr">
        <is>
          <t>FoodnBid가 수도권 학교급식의 약 60% 커버 (직계약·수의계약 제외)</t>
        </is>
      </c>
    </row>
    <row r="12" ht="28" customHeight="1">
      <c r="B12" s="29" t="inlineStr">
        <is>
          <t>③ ÷ 수도권 학생비율 40.5%  →  전국 학교급식 시장</t>
        </is>
      </c>
      <c r="C12" s="18" t="n">
        <v>10625070155</v>
      </c>
      <c r="D12" s="7" t="inlineStr">
        <is>
          <t>106.3억원</t>
        </is>
      </c>
      <c r="E12" s="30" t="inlineStr">
        <is>
          <t>서울+경기 학생 수 / 전국 (교육통계서비스 2024)</t>
        </is>
      </c>
    </row>
    <row r="13" ht="28" customHeight="1">
      <c r="B13" s="29" t="inlineStr">
        <is>
          <t>④ 전국 단체급식 추가 (× 22.5%)</t>
        </is>
      </c>
      <c r="C13" s="18" t="n">
        <v>2390640784</v>
      </c>
      <c r="D13" s="7" t="inlineStr">
        <is>
          <t>23.9억원</t>
        </is>
      </c>
      <c r="E13" s="30" t="inlineStr">
        <is>
          <t>군·병원·기업 단체급식, 학교급식 대비 약 22.5%</t>
        </is>
      </c>
    </row>
    <row r="14" ht="28" customHeight="1">
      <c r="B14" s="27" t="inlineStr">
        <is>
          <t>▶ 전국 급식 전체 합계 (최종)</t>
        </is>
      </c>
      <c r="C14" s="31" t="n">
        <v>13015710939</v>
      </c>
      <c r="D14" s="32" t="inlineStr">
        <is>
          <t>약 130억원</t>
        </is>
      </c>
      <c r="E14" s="30" t="inlineStr">
        <is>
          <t>전국 학교급식 + 단체급식 합산</t>
        </is>
      </c>
    </row>
    <row r="16" ht="14" customHeight="1"/>
    <row r="17" ht="22" customHeight="1">
      <c r="B17" s="28" t="inlineStr">
        <is>
          <t>환산 방법론 및 주의사항</t>
        </is>
      </c>
    </row>
    <row r="18" ht="20" customHeight="1">
      <c r="B18" s="30" t="inlineStr">
        <is>
          <t>• FoodnBid(info.foodnbid.com)는 수도권(서울·경기·인천) 학교급식 조달 플랫폼으로, 전체 수도권 학교급식의 약 60%를 커버합니다.</t>
        </is>
      </c>
    </row>
    <row r="19" ht="20" customHeight="1">
      <c r="B19" s="30" t="inlineStr">
        <is>
          <t>• 수도권 학생 비율(40.5%)은 교육통계서비스 2024년 기준 초·중·고 재학생 수를 활용합니다.</t>
        </is>
      </c>
    </row>
    <row r="20" ht="20" customHeight="1">
      <c r="B20" s="30" t="inlineStr">
        <is>
          <t>• 단체급식(군·병원·기업) 비중은 학교급식의 약 22.5%로 추정합니다 (업계 통상 기준).</t>
        </is>
      </c>
    </row>
    <row r="21" ht="20" customHeight="1">
      <c r="B21" s="30" t="inlineStr">
        <is>
          <t>• 방학월(1·7·12월)은 학교 운영 없어 실측값이 매우 낮습니다 — 정상 데이터입니다.</t>
        </is>
      </c>
    </row>
    <row r="22" ht="20" customHeight="1">
      <c r="B22" s="30" t="inlineStr">
        <is>
          <t>• 본 데이터는 2025년 실측 기준이며, 연도별 편차가 존재할 수 있습니다.</t>
        </is>
      </c>
    </row>
    <row r="24" ht="14" customHeight="1">
      <c r="B24" s="26" t="inlineStr">
        <is>
          <t>※ 출처: FoodnBid info.foodnbid.com | 교육통계서비스 kess.kedi.re.kr | 수집일: 2026-04-24</t>
        </is>
      </c>
    </row>
  </sheetData>
  <mergeCells count="16">
    <mergeCell ref="B6:C6"/>
    <mergeCell ref="B17:E17"/>
    <mergeCell ref="B1:E1"/>
    <mergeCell ref="B18:E18"/>
    <mergeCell ref="E4"/>
    <mergeCell ref="B3:C3"/>
    <mergeCell ref="E3"/>
    <mergeCell ref="B5:C5"/>
    <mergeCell ref="B21:E21"/>
    <mergeCell ref="E6"/>
    <mergeCell ref="B24:E24"/>
    <mergeCell ref="B19:E19"/>
    <mergeCell ref="B20:E20"/>
    <mergeCell ref="B4:C4"/>
    <mergeCell ref="B22:E22"/>
    <mergeCell ref="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8" customHeight="1">
      <c r="B1" s="1" t="inlineStr">
        <is>
          <t>【폭립】  경쟁사 월별 낙찰현황  (2025년)</t>
        </is>
      </c>
    </row>
    <row r="2" ht="32" customHeight="1">
      <c r="B2" s="10" t="inlineStr">
        <is>
          <t>월</t>
        </is>
      </c>
      <c r="C2" s="33" t="inlineStr">
        <is>
          <t>하늘빛
(16.9%)</t>
        </is>
      </c>
      <c r="D2" s="10" t="inlineStr">
        <is>
          <t>한올푸드
(11.3%)</t>
        </is>
      </c>
      <c r="E2" s="10" t="inlineStr">
        <is>
          <t>대상
(9.6%)</t>
        </is>
      </c>
      <c r="F2" s="10" t="inlineStr">
        <is>
          <t>참조은
(9.4%)</t>
        </is>
      </c>
      <c r="G2" s="10" t="inlineStr">
        <is>
          <t>크로바
(7.0%)</t>
        </is>
      </c>
      <c r="H2" s="10" t="inlineStr">
        <is>
          <t>씨제이
(6.8%)</t>
        </is>
      </c>
      <c r="I2" s="10" t="inlineStr">
        <is>
          <t>스마일푸드야미
(6.4%)</t>
        </is>
      </c>
      <c r="J2" s="10" t="inlineStr">
        <is>
          <t>원플러스원
(5.2%)</t>
        </is>
      </c>
      <c r="K2" s="10" t="inlineStr">
        <is>
          <t>레인보우
(4.8%)</t>
        </is>
      </c>
      <c r="L2" s="10" t="inlineStr">
        <is>
          <t>풀무원
(4.7%)</t>
        </is>
      </c>
      <c r="M2" s="7" t="inlineStr">
        <is>
          <t>월 합계</t>
        </is>
      </c>
    </row>
    <row r="3" ht="20" customHeight="1">
      <c r="B3" s="11" t="inlineStr">
        <is>
          <t>1월</t>
        </is>
      </c>
      <c r="C3" s="34" t="n">
        <v>3078000</v>
      </c>
      <c r="D3" s="12" t="n"/>
      <c r="E3" s="12" t="n">
        <v>660000</v>
      </c>
      <c r="F3" s="12" t="n"/>
      <c r="G3" s="12" t="n"/>
      <c r="H3" s="12" t="n"/>
      <c r="I3" s="12" t="n">
        <v>111600</v>
      </c>
      <c r="J3" s="12" t="n">
        <v>54873</v>
      </c>
      <c r="K3" s="12" t="n"/>
      <c r="L3" s="12" t="n"/>
      <c r="M3" s="35" t="n">
        <v>3904473</v>
      </c>
    </row>
    <row r="4" ht="20" customHeight="1">
      <c r="B4" s="17" t="inlineStr">
        <is>
          <t>2월</t>
        </is>
      </c>
      <c r="C4" s="34" t="n">
        <v>30518181</v>
      </c>
      <c r="D4" s="18" t="n">
        <v>3157800</v>
      </c>
      <c r="E4" s="18" t="n">
        <v>2481957</v>
      </c>
      <c r="F4" s="18" t="n">
        <v>11566800</v>
      </c>
      <c r="G4" s="18" t="n">
        <v>1914870</v>
      </c>
      <c r="H4" s="18" t="n">
        <v>2238525</v>
      </c>
      <c r="I4" s="18" t="n">
        <v>9286258</v>
      </c>
      <c r="J4" s="18" t="n">
        <v>11668293</v>
      </c>
      <c r="K4" s="18" t="n">
        <v>17229874</v>
      </c>
      <c r="L4" s="18" t="n">
        <v>12258593</v>
      </c>
      <c r="M4" s="23" t="n">
        <v>126782581</v>
      </c>
    </row>
    <row r="5" ht="20" customHeight="1">
      <c r="B5" s="17" t="inlineStr">
        <is>
          <t>3월</t>
        </is>
      </c>
      <c r="C5" s="18" t="n">
        <v>31846716</v>
      </c>
      <c r="D5" s="18" t="n">
        <v>12263450</v>
      </c>
      <c r="E5" s="34" t="n">
        <v>43116260</v>
      </c>
      <c r="F5" s="18" t="n">
        <v>3615840</v>
      </c>
      <c r="G5" s="18" t="n">
        <v>15959210</v>
      </c>
      <c r="H5" s="18" t="n">
        <v>7482825</v>
      </c>
      <c r="I5" s="18" t="n">
        <v>9824327</v>
      </c>
      <c r="J5" s="18" t="n">
        <v>13304819</v>
      </c>
      <c r="K5" s="18" t="n">
        <v>1890000</v>
      </c>
      <c r="L5" s="18" t="n">
        <v>13298892</v>
      </c>
      <c r="M5" s="23" t="n">
        <v>160937125</v>
      </c>
    </row>
    <row r="6" ht="20" customHeight="1">
      <c r="B6" s="17" t="inlineStr">
        <is>
          <t>4월</t>
        </is>
      </c>
      <c r="C6" s="18" t="n">
        <v>24828282</v>
      </c>
      <c r="D6" s="18" t="n">
        <v>19128900</v>
      </c>
      <c r="E6" s="18" t="n">
        <v>18849490</v>
      </c>
      <c r="F6" s="34" t="n">
        <v>24890861</v>
      </c>
      <c r="G6" s="18" t="n">
        <v>16429249</v>
      </c>
      <c r="H6" s="18" t="n">
        <v>14632627</v>
      </c>
      <c r="I6" s="18" t="n">
        <v>11779390</v>
      </c>
      <c r="J6" s="18" t="n">
        <v>14555595</v>
      </c>
      <c r="K6" s="18" t="n">
        <v>10607625</v>
      </c>
      <c r="L6" s="18" t="n">
        <v>7177971</v>
      </c>
      <c r="M6" s="23" t="n">
        <v>185337435</v>
      </c>
    </row>
    <row r="7" ht="20" customHeight="1">
      <c r="B7" s="17" t="inlineStr">
        <is>
          <t>5월</t>
        </is>
      </c>
      <c r="C7" s="18" t="n">
        <v>17245035</v>
      </c>
      <c r="D7" s="18" t="n">
        <v>7685600</v>
      </c>
      <c r="E7" s="18" t="n"/>
      <c r="F7" s="34" t="n">
        <v>20689920</v>
      </c>
      <c r="G7" s="18" t="n">
        <v>8987990</v>
      </c>
      <c r="H7" s="18" t="n">
        <v>10046911</v>
      </c>
      <c r="I7" s="18" t="n">
        <v>8171464</v>
      </c>
      <c r="J7" s="18" t="n">
        <v>13943475</v>
      </c>
      <c r="K7" s="18" t="n">
        <v>18520920</v>
      </c>
      <c r="L7" s="18" t="n">
        <v>9483565</v>
      </c>
      <c r="M7" s="23" t="n">
        <v>141436885</v>
      </c>
    </row>
    <row r="8" ht="20" customHeight="1">
      <c r="B8" s="17" t="inlineStr">
        <is>
          <t>6월</t>
        </is>
      </c>
      <c r="C8" s="34" t="n">
        <v>50024952</v>
      </c>
      <c r="D8" s="18" t="n">
        <v>18050840</v>
      </c>
      <c r="E8" s="18" t="n">
        <v>43938165</v>
      </c>
      <c r="F8" s="18" t="n">
        <v>13867200</v>
      </c>
      <c r="G8" s="18" t="n">
        <v>36800372</v>
      </c>
      <c r="H8" s="18" t="n"/>
      <c r="I8" s="18" t="n">
        <v>18259963</v>
      </c>
      <c r="J8" s="18" t="n">
        <v>13706374</v>
      </c>
      <c r="K8" s="18" t="n">
        <v>10285110</v>
      </c>
      <c r="L8" s="18" t="n">
        <v>9254948</v>
      </c>
      <c r="M8" s="23" t="n">
        <v>242880498</v>
      </c>
    </row>
    <row r="9" ht="20" customHeight="1">
      <c r="B9" s="11" t="inlineStr">
        <is>
          <t>7월</t>
        </is>
      </c>
      <c r="C9" s="12" t="n">
        <v>2885625</v>
      </c>
      <c r="D9" s="12" t="n"/>
      <c r="E9" s="12" t="n">
        <v>1386000</v>
      </c>
      <c r="F9" s="34" t="n">
        <v>5702400</v>
      </c>
      <c r="G9" s="12" t="n"/>
      <c r="H9" s="12" t="n">
        <v>2400300</v>
      </c>
      <c r="I9" s="12" t="n"/>
      <c r="J9" s="12" t="n">
        <v>728910</v>
      </c>
      <c r="K9" s="12" t="n"/>
      <c r="L9" s="12" t="n">
        <v>1752527</v>
      </c>
      <c r="M9" s="35" t="n">
        <v>17159762</v>
      </c>
    </row>
    <row r="10" ht="20" customHeight="1">
      <c r="B10" s="17" t="inlineStr">
        <is>
          <t>8월</t>
        </is>
      </c>
      <c r="C10" s="18" t="n">
        <v>24250671</v>
      </c>
      <c r="D10" s="34" t="n">
        <v>34535050</v>
      </c>
      <c r="E10" s="18" t="n">
        <v>6420150</v>
      </c>
      <c r="F10" s="18" t="n">
        <v>21063465</v>
      </c>
      <c r="G10" s="18" t="n">
        <v>20502659</v>
      </c>
      <c r="H10" s="18" t="n">
        <v>25123800</v>
      </c>
      <c r="I10" s="18" t="n">
        <v>20267260</v>
      </c>
      <c r="J10" s="18" t="n">
        <v>15872548</v>
      </c>
      <c r="K10" s="18" t="n"/>
      <c r="L10" s="18" t="n">
        <v>17226949</v>
      </c>
      <c r="M10" s="23" t="n">
        <v>234083296</v>
      </c>
    </row>
    <row r="11" ht="20" customHeight="1">
      <c r="B11" s="17" t="inlineStr">
        <is>
          <t>9월</t>
        </is>
      </c>
      <c r="C11" s="34" t="n">
        <v>64049794</v>
      </c>
      <c r="D11" s="18" t="n">
        <v>33133136</v>
      </c>
      <c r="E11" s="18" t="n">
        <v>32284945</v>
      </c>
      <c r="F11" s="18" t="n">
        <v>8000640</v>
      </c>
      <c r="G11" s="18" t="n">
        <v>15936620</v>
      </c>
      <c r="H11" s="18" t="n">
        <v>6095000</v>
      </c>
      <c r="I11" s="18" t="n">
        <v>26648714</v>
      </c>
      <c r="J11" s="18" t="n">
        <v>12864852</v>
      </c>
      <c r="K11" s="18" t="n">
        <v>19409368</v>
      </c>
      <c r="L11" s="18" t="n">
        <v>6138706</v>
      </c>
      <c r="M11" s="23" t="n">
        <v>262476426</v>
      </c>
    </row>
    <row r="12" ht="20" customHeight="1">
      <c r="B12" s="17" t="inlineStr">
        <is>
          <t>10월</t>
        </is>
      </c>
      <c r="C12" s="34" t="n">
        <v>60426918</v>
      </c>
      <c r="D12" s="18" t="n">
        <v>55770692</v>
      </c>
      <c r="E12" s="18" t="n">
        <v>38188084</v>
      </c>
      <c r="F12" s="18" t="n">
        <v>41500224</v>
      </c>
      <c r="G12" s="18" t="n">
        <v>27357341</v>
      </c>
      <c r="H12" s="18" t="n">
        <v>17847770</v>
      </c>
      <c r="I12" s="18" t="n">
        <v>10988487</v>
      </c>
      <c r="J12" s="18" t="n">
        <v>14492550</v>
      </c>
      <c r="K12" s="18" t="n">
        <v>5584176</v>
      </c>
      <c r="L12" s="18" t="n">
        <v>21427252</v>
      </c>
      <c r="M12" s="23" t="n">
        <v>346379408</v>
      </c>
    </row>
    <row r="13" ht="20" customHeight="1">
      <c r="B13" s="17" t="inlineStr">
        <is>
          <t>11월</t>
        </is>
      </c>
      <c r="C13" s="34" t="n">
        <v>127472049</v>
      </c>
      <c r="D13" s="18" t="n">
        <v>108108468</v>
      </c>
      <c r="E13" s="18" t="n">
        <v>59285490</v>
      </c>
      <c r="F13" s="18" t="n">
        <v>88164000</v>
      </c>
      <c r="G13" s="18" t="n">
        <v>36261560</v>
      </c>
      <c r="H13" s="18" t="n">
        <v>87782095</v>
      </c>
      <c r="I13" s="18" t="n">
        <v>50687855</v>
      </c>
      <c r="J13" s="18" t="n">
        <v>22474589</v>
      </c>
      <c r="K13" s="18" t="n">
        <v>39455878</v>
      </c>
      <c r="L13" s="18" t="n">
        <v>22856127</v>
      </c>
      <c r="M13" s="23" t="n">
        <v>849425876</v>
      </c>
    </row>
    <row r="14" ht="20" customHeight="1">
      <c r="B14" s="11" t="inlineStr">
        <is>
          <t>12월</t>
        </is>
      </c>
      <c r="C14" s="12" t="n">
        <v>846450</v>
      </c>
      <c r="D14" s="12" t="n"/>
      <c r="E14" s="12" t="n"/>
      <c r="F14" s="34" t="n">
        <v>3847680</v>
      </c>
      <c r="G14" s="12" t="n"/>
      <c r="H14" s="12" t="n">
        <v>1313736</v>
      </c>
      <c r="I14" s="12" t="n"/>
      <c r="J14" s="12" t="n">
        <v>335790</v>
      </c>
      <c r="K14" s="12" t="n"/>
      <c r="L14" s="12" t="n">
        <v>425952</v>
      </c>
      <c r="M14" s="35" t="n">
        <v>11088283</v>
      </c>
    </row>
    <row r="15" ht="26" customHeight="1">
      <c r="B15" s="7" t="inlineStr">
        <is>
          <t>연간 합계</t>
        </is>
      </c>
      <c r="C15" s="23" t="n">
        <v>437472673</v>
      </c>
      <c r="D15" s="23" t="n">
        <v>291833936</v>
      </c>
      <c r="E15" s="23" t="n">
        <v>246610541</v>
      </c>
      <c r="F15" s="23" t="n">
        <v>242909030</v>
      </c>
      <c r="G15" s="23" t="n">
        <v>180149871</v>
      </c>
      <c r="H15" s="23" t="n">
        <v>174963589</v>
      </c>
      <c r="I15" s="23" t="n">
        <v>166025318</v>
      </c>
      <c r="J15" s="23" t="n">
        <v>134002668</v>
      </c>
      <c r="K15" s="23" t="n">
        <v>122982951</v>
      </c>
      <c r="L15" s="23" t="n">
        <v>121301482</v>
      </c>
      <c r="M15" s="23" t="n">
        <v>2581892048</v>
      </c>
    </row>
    <row r="16" ht="16" customHeight="1">
      <c r="C16" s="2" t="inlineStr">
        <is>
          <t>점유율 16.9%</t>
        </is>
      </c>
      <c r="D16" s="2" t="inlineStr">
        <is>
          <t>점유율 11.3%</t>
        </is>
      </c>
      <c r="E16" s="2" t="inlineStr">
        <is>
          <t>점유율 9.6%</t>
        </is>
      </c>
      <c r="F16" s="2" t="inlineStr">
        <is>
          <t>점유율 9.4%</t>
        </is>
      </c>
      <c r="G16" s="2" t="inlineStr">
        <is>
          <t>점유율 7.0%</t>
        </is>
      </c>
      <c r="H16" s="2" t="inlineStr">
        <is>
          <t>점유율 6.8%</t>
        </is>
      </c>
      <c r="I16" s="2" t="inlineStr">
        <is>
          <t>점유율 6.4%</t>
        </is>
      </c>
      <c r="J16" s="2" t="inlineStr">
        <is>
          <t>점유율 5.2%</t>
        </is>
      </c>
      <c r="K16" s="2" t="inlineStr">
        <is>
          <t>점유율 4.8%</t>
        </is>
      </c>
      <c r="L16" s="2" t="inlineStr">
        <is>
          <t>점유율 4.7%</t>
        </is>
      </c>
    </row>
    <row r="17" ht="14" customHeight="1">
      <c r="B17" s="26" t="inlineStr">
        <is>
          <t>※ 분홍색 셀 = 해당 월 1위 낙찰사  |  출처: FoodnBid info.foodnbid.com  |  수집일: 2026-04-24</t>
        </is>
      </c>
    </row>
  </sheetData>
  <mergeCells count="2">
    <mergeCell ref="B17:M17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2026-04-24T01:46:08Z</dcterms:created>
  <dcterms:modified xsi:type="dcterms:W3CDTF">2026-04-24T01:46:08Z</dcterms:modified>
</cp:coreProperties>
</file>