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aude AI\학교급식규모\output\"/>
    </mc:Choice>
  </mc:AlternateContent>
  <xr:revisionPtr revIDLastSave="0" documentId="13_ncr:1_{F75F9D50-0D8D-419D-B167-BE1F79FD7D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학교급식_월별실측" sheetId="1" r:id="rId1"/>
    <sheet name="시장규모_환산" sheetId="2" r:id="rId2"/>
    <sheet name="경쟁사_월별현황" sheetId="3" r:id="rId3"/>
    <sheet name="경쟁사_제품정보" sheetId="4" r:id="rId4"/>
  </sheets>
  <calcPr calcId="191029" concurrentManualCount="1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<sst xmlns="http://schemas.openxmlformats.org/spreadsheetml/2006/main" count="206" uniqueCount="162">
  <si>
    <t>【떡갈비】  학교급식 FoodnBid 월별 낙찰금액  (2025년 vs 2024년)</t>
  </si>
  <si>
    <t>수도권 FoodnBid 연간</t>
  </si>
  <si>
    <t>수도권 학교급식 추정</t>
  </si>
  <si>
    <t>전국 학교급식 추정</t>
  </si>
  <si>
    <t>전국 급식 전체</t>
  </si>
  <si>
    <t>2024년 전국급식</t>
  </si>
  <si>
    <t>전년 대비 성장</t>
  </si>
  <si>
    <t>63.85억원</t>
  </si>
  <si>
    <t>106.41억원</t>
  </si>
  <si>
    <t>262.8억원</t>
  </si>
  <si>
    <t>약 322억원</t>
  </si>
  <si>
    <t>253.5억원</t>
  </si>
  <si>
    <t>▲ 3.6%</t>
  </si>
  <si>
    <t>월</t>
  </si>
  <si>
    <t>FoodnBid 실측
(2025, 수도권, 원)</t>
  </si>
  <si>
    <t>비중
(%)</t>
  </si>
  <si>
    <t>FoodnBid 실측
(2024, 수도권, 원)</t>
  </si>
  <si>
    <t>전년
동월 대비</t>
  </si>
  <si>
    <t>경쟁사 TOP 3 (낙찰금액)</t>
  </si>
  <si>
    <t>2025 전국학교급식 환산</t>
  </si>
  <si>
    <t>2024 전국학교급식 환산</t>
  </si>
  <si>
    <t>1월</t>
  </si>
  <si>
    <t>▲ 140.6%</t>
  </si>
  <si>
    <t>① 크로바 8,420,135원 | ② 스마일푸드야미 1,616,300원 | ③ 더불어사는마을 1,231,296원</t>
  </si>
  <si>
    <t>2월</t>
  </si>
  <si>
    <t>▲ 11.8%</t>
  </si>
  <si>
    <t>① 선진FS 118,377,452원 | ② 씨제이 69,243,939원 | ③ 원플러스원 61,529,492원</t>
  </si>
  <si>
    <t>3월</t>
  </si>
  <si>
    <t>▲ 6.3%</t>
  </si>
  <si>
    <t>① 선진FS 152,640,306원 | ② 원플러스원 83,831,870원 | ③ 하늘빛 82,437,394원</t>
  </si>
  <si>
    <t>4월</t>
  </si>
  <si>
    <t>▼ 6.3%</t>
  </si>
  <si>
    <t>① 하늘빛 77,565,503원 | ② 원플러스원 75,128,497원 | ③ 선진FS 71,389,651원</t>
  </si>
  <si>
    <t>5월</t>
  </si>
  <si>
    <t>▼ 13.9%</t>
  </si>
  <si>
    <t>① 씨제이 84,568,688원 | ② 하늘빛 83,731,230원 | ③ 원플러스원 70,595,567원</t>
  </si>
  <si>
    <t>6월 ★</t>
  </si>
  <si>
    <t>▲ 6.9%</t>
  </si>
  <si>
    <t>① 하늘빛 120,397,653원 | ② 씨제이 91,375,033원 | ③ 대상 79,320,113원</t>
  </si>
  <si>
    <t>7월</t>
  </si>
  <si>
    <t>▲ 112.3%</t>
  </si>
  <si>
    <t>① 크로바 42,927,470원 | ② 대상 10,618,079원 | ③ 하늘빛 10,505,616원</t>
  </si>
  <si>
    <t>8월</t>
  </si>
  <si>
    <t>▲ 51.7%</t>
  </si>
  <si>
    <t>① 씨제이 112,900,278원 | ② 하늘빛 77,710,861원 | ③ 원플러스원 61,683,492원</t>
  </si>
  <si>
    <t>9월</t>
  </si>
  <si>
    <t>▲ 0.7%</t>
  </si>
  <si>
    <t>① 자담선 51,682,437원 | ② 원플러스원 49,988,177원 | ③ 풀무원 48,384,839원</t>
  </si>
  <si>
    <t>10월</t>
  </si>
  <si>
    <t>▼ 13.6%</t>
  </si>
  <si>
    <t>① 하늘빛 73,087,113원 | ② 원플러스원 52,403,988원 | ③ 씨제이 46,574,339원</t>
  </si>
  <si>
    <t>11월</t>
  </si>
  <si>
    <t>▼ 5.0%</t>
  </si>
  <si>
    <t>① 하늘빛 69,892,116원 | ② 원플러스원 63,173,052원 | ③ 씨제이 60,326,663원</t>
  </si>
  <si>
    <t>12월</t>
  </si>
  <si>
    <t>▼ 0.1%</t>
  </si>
  <si>
    <t>① 아이푸드스쿨 3,800,000원 | ② 씨제이 3,346,508원 | ③ 대상 2,720,850원</t>
  </si>
  <si>
    <t>연간 합계</t>
  </si>
  <si>
    <t>연간 63.85억원  |  전년(2024) 61.61억원  (수도권 FoodnBid 기준)</t>
  </si>
  <si>
    <t>※ 출처: FoodnBid info.foodnbid.com 월별예상금액 (수도권·서울·경기·인천 학교) | 수집일: 2026-05-08</t>
  </si>
  <si>
    <t>【떡갈비】  학교급식 시장 규모 환산  (2025년 vs 2024년 비교)</t>
  </si>
  <si>
    <t>구분</t>
  </si>
  <si>
    <t>2025년 수치</t>
  </si>
  <si>
    <t>2025년</t>
  </si>
  <si>
    <t>2024년 수치</t>
  </si>
  <si>
    <t>2024년</t>
  </si>
  <si>
    <t>비고</t>
  </si>
  <si>
    <t>전국 급식 전체 (최종 추정)</t>
  </si>
  <si>
    <t>약 311억원</t>
  </si>
  <si>
    <t>전국 학교급식</t>
  </si>
  <si>
    <t>수도권 학교급식</t>
  </si>
  <si>
    <t>102.68억원</t>
  </si>
  <si>
    <t>FoodnBid 실측 (수도권)</t>
  </si>
  <si>
    <t>61.61억원</t>
  </si>
  <si>
    <t>계산 단계</t>
  </si>
  <si>
    <t>2025년 수치 (원)</t>
  </si>
  <si>
    <t>2025년 억원</t>
  </si>
  <si>
    <t>2024년 수치 (원)</t>
  </si>
  <si>
    <t>2024년 억원</t>
  </si>
  <si>
    <t>산출 근거·가정</t>
  </si>
  <si>
    <t>① 수도권 FoodnBid 연간 실측</t>
  </si>
  <si>
    <t>FoodnBid info.foodnbid.com 실측 (2025년 / 2024년 1~12월)</t>
  </si>
  <si>
    <t>② ÷ FoodnBid 커버리지 60%  →  수도권 학교급식 시장</t>
  </si>
  <si>
    <t>FoodnBid가 수도권 학교급식의 약 60% 커버 (직계약·수의계약 제외)</t>
  </si>
  <si>
    <t>③ ÷ 수도권 학생비율 40.5%  →  전국 학교급식 시장</t>
  </si>
  <si>
    <t>서울+경기 학생 수 / 전국 (교육통계서비스 2024)</t>
  </si>
  <si>
    <t>④ 전국 단체급식 추가 (× 22.5%)</t>
  </si>
  <si>
    <t>59.1억원</t>
  </si>
  <si>
    <t>57.0억원</t>
  </si>
  <si>
    <t>군·병원·기업 단체급식, 학교급식 대비 약 22.5%</t>
  </si>
  <si>
    <t>▶ 전국 급식 전체 합계 (최종)</t>
  </si>
  <si>
    <t>전국 학교급식 + 단체급식 합산</t>
  </si>
  <si>
    <t>환산 방법론 및 주의사항</t>
  </si>
  <si>
    <t>• FoodnBid(info.foodnbid.com)는 수도권(서울·경기·인천) 학교급식 조달 플랫폼으로, 전체 수도권 학교급식의 약 60%를 커버합니다.</t>
  </si>
  <si>
    <t>• 수도권 학생 비율(40.5%)은 교육통계서비스 2024년 기준 초·중·고 재학생 수를 활용합니다.</t>
  </si>
  <si>
    <t>• 단체급식(군·병원·기업) 비중은 학교급식의 약 22.5%로 추정합니다 (업계 통상 기준).</t>
  </si>
  <si>
    <t>• 방학월(1·7·12월)은 학교 운영 없어 실측값이 매우 낮습니다 — 정상 데이터입니다.</t>
  </si>
  <si>
    <t>• 본 데이터는 2025년 및 2024년 FoodnBid 실측 기준이며, 연도별 편차가 존재할 수 있습니다.</t>
  </si>
  <si>
    <t>※ 출처: FoodnBid info.foodnbid.com | 교육통계서비스 kess.kedi.re.kr | 수집일: 2026-05-08</t>
  </si>
  <si>
    <t>【떡갈비】  경쟁사 월별 낙찰현황  (2025년)</t>
  </si>
  <si>
    <t>하늘빛
(10.9%)</t>
  </si>
  <si>
    <t>선진FS
(10.2%)</t>
  </si>
  <si>
    <t>원플러스원
(9.4%)</t>
  </si>
  <si>
    <t>씨제이
(8.9%)</t>
  </si>
  <si>
    <t>크로바
(5.9%)</t>
  </si>
  <si>
    <t>풀무원
(5.6%)</t>
  </si>
  <si>
    <t>가족사랑
(5.2%)</t>
  </si>
  <si>
    <t>대상
(5.0%)</t>
  </si>
  <si>
    <t>아이푸드스쿨
(5.0%)</t>
  </si>
  <si>
    <t>더불어사는마을
(3.5%)</t>
  </si>
  <si>
    <t>월 합계</t>
  </si>
  <si>
    <t>6월</t>
  </si>
  <si>
    <t>점유율 10.9%</t>
  </si>
  <si>
    <t>점유율 10.2%</t>
  </si>
  <si>
    <t>점유율 9.4%</t>
  </si>
  <si>
    <t>점유율 8.9%</t>
  </si>
  <si>
    <t>점유율 5.9%</t>
  </si>
  <si>
    <t>점유율 5.6%</t>
  </si>
  <si>
    <t>점유율 5.2%</t>
  </si>
  <si>
    <t>점유율 5.0%</t>
  </si>
  <si>
    <t>점유율 3.5%</t>
  </si>
  <si>
    <t>※ 분홍색 셀 = 해당 월 1위 낙찰사  |  출처: FoodnBid info.foodnbid.com  |  수집일: 2026-05-08</t>
  </si>
  <si>
    <t>【떡갈비】  경쟁사 제품 비교  (2025년 FoodnBid 기준)</t>
  </si>
  <si>
    <t>항목</t>
  </si>
  <si>
    <t>FoodnBid 2025 제품 1위</t>
  </si>
  <si>
    <t>FoodnBid 2025 제품 2위</t>
  </si>
  <si>
    <t>FoodnBid 2025 제품 3위</t>
  </si>
  <si>
    <t>FoodnBid 2025 제품 4위</t>
  </si>
  <si>
    <t>FoodnBid 2025 제품 5위</t>
  </si>
  <si>
    <t>제품
이미지</t>
  </si>
  <si>
    <t>[ 제품 이미지
직접 삽입 ]</t>
  </si>
  <si>
    <t>업체명</t>
  </si>
  <si>
    <t>선진FS</t>
  </si>
  <si>
    <t>원플러스원</t>
  </si>
  <si>
    <t>하늘빛</t>
  </si>
  <si>
    <t>가족사랑</t>
  </si>
  <si>
    <t>씨제이</t>
  </si>
  <si>
    <t>제품명</t>
  </si>
  <si>
    <t>활짝핀떡갈비55</t>
  </si>
  <si>
    <t>즉석떡갈비맛스테이크</t>
  </si>
  <si>
    <t>궁중떡갈비60g</t>
  </si>
  <si>
    <t>하이포크 한입 연근떡갈비</t>
  </si>
  <si>
    <t>튼튼스쿨 한입떡갈비</t>
  </si>
  <si>
    <t>중량</t>
  </si>
  <si>
    <t>확인 필요</t>
  </si>
  <si>
    <t>60g</t>
  </si>
  <si>
    <t>FoodnBid
방학제외 월평균</t>
  </si>
  <si>
    <t>47,059,563원</t>
  </si>
  <si>
    <t>29,144,389원</t>
  </si>
  <si>
    <t>28,533,616원</t>
  </si>
  <si>
    <t>25,250,093원</t>
  </si>
  <si>
    <t>23,688,673원</t>
  </si>
  <si>
    <t>원재료 TOP3
(육함량 직접 기재)</t>
  </si>
  <si>
    <t>① 주원료(원산지 직접확인) - 육함량: 직접 기재
② 소스류(간장·설탕·전분 등) - 직접 기재
③ 향신료·기타 첨가물 - 직접 기재</t>
  </si>
  <si>
    <t>원산지</t>
  </si>
  <si>
    <t>블루시스
학교kg단가</t>
  </si>
  <si>
    <t>18,978원/kg</t>
  </si>
  <si>
    <t>20,980원/kg</t>
  </si>
  <si>
    <t>블루시스 미등록</t>
  </si>
  <si>
    <t>20,900원/kg</t>
  </si>
  <si>
    <t>특이사항</t>
  </si>
  <si>
    <t>※ 출처: FoodnBid info.foodnbid.com  |  방학제외 = 1·7·12월 제외  |  블루시스 학교kg단가: market.bluesis.com 자동 수집  |  이미지·육함량: 직접 입력  |  수집일: 2026-05-08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</si>
</sst>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i/>
      <sz val="8"/>
      <color rgb="FF666666"/>
      <name val="맑은 고딕"/>
      <family val="3"/>
      <charset val="129"/>
    </font>
    <font>
      <i/>
      <sz val="9"/>
      <color rgb="FFBBBBBB"/>
      <name val="맑은 고딕"/>
      <family val="3"/>
      <charset val="129"/>
    </font>
    <font>
      <i/>
      <sz val="8"/>
      <color rgb="FF88888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2E5F8E"/>
      </patternFill>
    </fill>
    <fill>
      <patternFill patternType="solid">
        <fgColor rgb="FFD6E4F0"/>
      </patternFill>
    </fill>
    <fill>
      <patternFill patternType="solid">
        <fgColor rgb="FFEBF5E1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8F0FE"/>
      </patternFill>
    </fill>
    <fill>
      <patternFill patternType="solid">
        <fgColor rgb="FFE8FFE8"/>
      </patternFill>
    </fill>
    <fill>
      <patternFill patternType="solid">
        <fgColor rgb="FFFFE8E8"/>
      </patternFill>
    </fill>
    <fill>
      <patternFill patternType="solid">
        <fgColor rgb="FFFCE4EC"/>
      </patternFill>
    </fill>
    <fill>
      <patternFill patternType="solid">
        <fgColor rgb="FF1F4E79"/>
      </patternFill>
    </fill>
    <fill>
      <patternFill patternType="solid">
        <fgColor rgb="FFFF6B35"/>
      </patternFill>
    </fill>
    <fill>
      <patternFill patternType="solid">
        <fgColor rgb="FFFF9500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9C27B0"/>
      </patternFill>
    </fill>
    <fill>
      <patternFill patternType="solid">
        <fgColor rgb="FFF0F0F0"/>
      </patternFill>
    </fill>
    <fill>
      <patternFill patternType="solid">
        <fgColor rgb="FFF9F9F9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FFF3E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right" vertical="center"/>
    </xf>
    <xf numFmtId="176" fontId="6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3" fontId="2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0" fontId="7" fillId="11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9" fillId="18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5" fillId="19" borderId="4" xfId="0" applyFont="1" applyFill="1" applyBorder="1" applyAlignment="1">
      <alignment horizontal="right" vertical="center" wrapText="1"/>
    </xf>
    <xf numFmtId="0" fontId="2" fillId="20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  <xf numFmtId="0" fontId="1" fillId="11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떡갈비  월별 전국 학교급식 시장규모 환산  </a:t>
            </a:r>
            <a:r>
              <a:rPr lang="en-US" altLang="ko-KR"/>
              <a:t>(2025 </a:t>
            </a:r>
            <a:r>
              <a:rPr lang="en-US"/>
              <a:t>vs 2024)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학교급식_월별실측!$H$5</c:f>
              <c:strCache>
                <c:ptCount val="1"/>
                <c:pt idx="0">
                  <c:v>2025 전국학교급식 환산</c:v>
                </c:pt>
              </c:strCache>
            </c:strRef>
          </c:tx>
          <c:spPr>
            <a:ln w="28800">
              <a:solidFill>
                <a:srgbClr val="1F4E7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F4E79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 ★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학교급식_월별실측!$H$6:$H$17</c:f>
              <c:numCache>
                <c:formatCode>#,##0</c:formatCode>
                <c:ptCount val="12"/>
                <c:pt idx="0">
                  <c:v>57802823</c:v>
                </c:pt>
                <c:pt idx="1">
                  <c:v>2976954032</c:v>
                </c:pt>
                <c:pt idx="2">
                  <c:v>3002365127</c:v>
                </c:pt>
                <c:pt idx="3">
                  <c:v>2689190580</c:v>
                </c:pt>
                <c:pt idx="4">
                  <c:v>2892883934</c:v>
                </c:pt>
                <c:pt idx="5">
                  <c:v>3302174053</c:v>
                </c:pt>
                <c:pt idx="6">
                  <c:v>468108835</c:v>
                </c:pt>
                <c:pt idx="7">
                  <c:v>3221091781</c:v>
                </c:pt>
                <c:pt idx="8">
                  <c:v>2391225213</c:v>
                </c:pt>
                <c:pt idx="9">
                  <c:v>2452081522</c:v>
                </c:pt>
                <c:pt idx="10">
                  <c:v>2718960378</c:v>
                </c:pt>
                <c:pt idx="11">
                  <c:v>102256736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5-4752-8C51-44CD22EF897E}"/>
            </c:ext>
          </c:extLst>
        </c:ser>
        <c:ser>
          <c:idx val="1"/>
          <c:order val="1"/>
          <c:tx>
            <c:strRef>
              <c:f>학교급식_월별실측!$I$5</c:f>
              <c:strCache>
                <c:ptCount val="1"/>
                <c:pt idx="0">
                  <c:v>2024 전국학교급식 환산</c:v>
                </c:pt>
              </c:strCache>
            </c:strRef>
          </c:tx>
          <c:spPr>
            <a:ln w="28800">
              <a:solidFill>
                <a:srgbClr val="E8A838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E8A838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 ★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학교급식_월별실측!$I$6:$I$17</c:f>
              <c:numCache>
                <c:formatCode>#,##0</c:formatCode>
                <c:ptCount val="12"/>
                <c:pt idx="0">
                  <c:v>24029144</c:v>
                </c:pt>
                <c:pt idx="1">
                  <c:v>2661606127</c:v>
                </c:pt>
                <c:pt idx="2">
                  <c:v>2825568958</c:v>
                </c:pt>
                <c:pt idx="3">
                  <c:v>2870367917</c:v>
                </c:pt>
                <c:pt idx="4">
                  <c:v>3360671995</c:v>
                </c:pt>
                <c:pt idx="5">
                  <c:v>3089983489</c:v>
                </c:pt>
                <c:pt idx="6">
                  <c:v>220483539</c:v>
                </c:pt>
                <c:pt idx="7">
                  <c:v>2122903777</c:v>
                </c:pt>
                <c:pt idx="8">
                  <c:v>2374665942</c:v>
                </c:pt>
                <c:pt idx="9">
                  <c:v>2838028855</c:v>
                </c:pt>
                <c:pt idx="10">
                  <c:v>2863085514</c:v>
                </c:pt>
                <c:pt idx="11">
                  <c:v>102350506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5-4752-8C51-44CD22EF8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전국 학교급식 환산 </a:t>
                </a:r>
                <a:r>
                  <a:rPr lang="en-US" altLang="ko-KR"/>
                  <a:t>(</a:t>
                </a:r>
                <a:r>
                  <a:rPr lang="ko-KR" altLang="en-US"/>
                  <a:t>원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9"/>
  <sheetViews>
    <sheetView showGridLines="0" tabSelected="1" workbookViewId="0"/>
  </sheetViews>
  <sheetFormatPr defaultRowHeight="17.399999999999999" x14ac:dyDescent="0.4"/>
  <cols>
    <col min="1" max="1" width="2" customWidth="1"/>
    <col min="2" max="2" width="10" customWidth="1"/>
    <col min="3" max="3" width="20" customWidth="1"/>
    <col min="4" max="4" width="10" customWidth="1"/>
    <col min="5" max="5" width="20" customWidth="1"/>
    <col min="6" max="6" width="14" customWidth="1"/>
    <col min="7" max="7" width="42" customWidth="1"/>
    <col min="8" max="9" width="18" customWidth="1"/>
  </cols>
  <sheetData>
    <row r="1" spans="2:9" ht="37.950000000000003" customHeight="1" x14ac:dyDescent="0.4">
      <c r="B1" s="54" t="s">
        <v>0</v>
      </c>
      <c r="C1" s="55"/>
      <c r="D1" s="55"/>
      <c r="E1" s="55"/>
      <c r="F1" s="55"/>
      <c r="G1" s="55"/>
      <c r="H1" s="55"/>
      <c r="I1" s="56"/>
    </row>
    <row r="2" spans="2:9" ht="19.95" customHeight="1" x14ac:dyDescent="0.4">
      <c r="B2" s="1" t="s">
        <v>1</v>
      </c>
      <c r="C2" s="1" t="s">
        <v>2</v>
      </c>
      <c r="D2" s="2" t="s">
        <v>3</v>
      </c>
      <c r="E2" s="3" t="s">
        <v>4</v>
      </c>
      <c r="F2" s="4" t="s">
        <v>5</v>
      </c>
      <c r="G2" s="3" t="s">
        <v>6</v>
      </c>
    </row>
    <row r="3" spans="2:9" ht="25.95" customHeight="1" x14ac:dyDescent="0.4">
      <c r="B3" s="5" t="s">
        <v>7</v>
      </c>
      <c r="C3" s="5" t="s">
        <v>8</v>
      </c>
      <c r="D3" s="6" t="s">
        <v>9</v>
      </c>
      <c r="E3" s="7" t="s">
        <v>10</v>
      </c>
      <c r="F3" s="8" t="s">
        <v>11</v>
      </c>
      <c r="G3" s="7" t="s">
        <v>12</v>
      </c>
    </row>
    <row r="4" spans="2:9" ht="13.95" customHeight="1" x14ac:dyDescent="0.4"/>
    <row r="5" spans="2:9" ht="36" customHeight="1" x14ac:dyDescent="0.4"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4" t="s">
        <v>19</v>
      </c>
      <c r="I5" s="4" t="s">
        <v>20</v>
      </c>
    </row>
    <row r="6" spans="2:9" ht="19.95" customHeight="1" x14ac:dyDescent="0.4">
      <c r="B6" s="10" t="s">
        <v>21</v>
      </c>
      <c r="C6" s="11">
        <v>14046086</v>
      </c>
      <c r="D6" s="12">
        <v>2E-3</v>
      </c>
      <c r="E6" s="11">
        <v>5839082</v>
      </c>
      <c r="F6" s="13" t="s">
        <v>22</v>
      </c>
      <c r="G6" s="14" t="s">
        <v>23</v>
      </c>
      <c r="H6" s="15">
        <v>57802823</v>
      </c>
      <c r="I6" s="15">
        <v>24029144</v>
      </c>
    </row>
    <row r="7" spans="2:9" ht="19.95" customHeight="1" x14ac:dyDescent="0.4">
      <c r="B7" s="16" t="s">
        <v>24</v>
      </c>
      <c r="C7" s="17">
        <v>723399830</v>
      </c>
      <c r="D7" s="18">
        <v>0.113</v>
      </c>
      <c r="E7" s="17">
        <v>646770289</v>
      </c>
      <c r="F7" s="13" t="s">
        <v>25</v>
      </c>
      <c r="G7" s="19" t="s">
        <v>26</v>
      </c>
      <c r="H7" s="15">
        <v>2976954032</v>
      </c>
      <c r="I7" s="15">
        <v>2661606127</v>
      </c>
    </row>
    <row r="8" spans="2:9" ht="19.95" customHeight="1" x14ac:dyDescent="0.4">
      <c r="B8" s="16" t="s">
        <v>27</v>
      </c>
      <c r="C8" s="17">
        <v>729574726</v>
      </c>
      <c r="D8" s="18">
        <v>0.114</v>
      </c>
      <c r="E8" s="17">
        <v>686613257</v>
      </c>
      <c r="F8" s="13" t="s">
        <v>28</v>
      </c>
      <c r="G8" s="19" t="s">
        <v>29</v>
      </c>
      <c r="H8" s="15">
        <v>3002365127</v>
      </c>
      <c r="I8" s="15">
        <v>2825568958</v>
      </c>
    </row>
    <row r="9" spans="2:9" ht="19.95" customHeight="1" x14ac:dyDescent="0.4">
      <c r="B9" s="16" t="s">
        <v>30</v>
      </c>
      <c r="C9" s="17">
        <v>653473311</v>
      </c>
      <c r="D9" s="18">
        <v>0.10199999999999999</v>
      </c>
      <c r="E9" s="17">
        <v>697499404</v>
      </c>
      <c r="F9" s="20" t="s">
        <v>31</v>
      </c>
      <c r="G9" s="19" t="s">
        <v>32</v>
      </c>
      <c r="H9" s="15">
        <v>2689190580</v>
      </c>
      <c r="I9" s="15">
        <v>2870367917</v>
      </c>
    </row>
    <row r="10" spans="2:9" ht="19.95" customHeight="1" x14ac:dyDescent="0.4">
      <c r="B10" s="16" t="s">
        <v>33</v>
      </c>
      <c r="C10" s="17">
        <v>702970796</v>
      </c>
      <c r="D10" s="18">
        <v>0.11</v>
      </c>
      <c r="E10" s="17">
        <v>816643295</v>
      </c>
      <c r="F10" s="20" t="s">
        <v>34</v>
      </c>
      <c r="G10" s="19" t="s">
        <v>35</v>
      </c>
      <c r="H10" s="15">
        <v>2892883934</v>
      </c>
      <c r="I10" s="15">
        <v>3360671995</v>
      </c>
    </row>
    <row r="11" spans="2:9" ht="19.95" customHeight="1" x14ac:dyDescent="0.4">
      <c r="B11" s="21" t="s">
        <v>36</v>
      </c>
      <c r="C11" s="22">
        <v>802428295</v>
      </c>
      <c r="D11" s="18">
        <v>0.126</v>
      </c>
      <c r="E11" s="17">
        <v>750865988</v>
      </c>
      <c r="F11" s="13" t="s">
        <v>37</v>
      </c>
      <c r="G11" s="19" t="s">
        <v>38</v>
      </c>
      <c r="H11" s="15">
        <v>3302174053</v>
      </c>
      <c r="I11" s="15">
        <v>3089983489</v>
      </c>
    </row>
    <row r="12" spans="2:9" ht="19.95" customHeight="1" x14ac:dyDescent="0.4">
      <c r="B12" s="10" t="s">
        <v>39</v>
      </c>
      <c r="C12" s="11">
        <v>113750447</v>
      </c>
      <c r="D12" s="12">
        <v>1.7999999999999999E-2</v>
      </c>
      <c r="E12" s="11">
        <v>53577500</v>
      </c>
      <c r="F12" s="13" t="s">
        <v>40</v>
      </c>
      <c r="G12" s="14" t="s">
        <v>41</v>
      </c>
      <c r="H12" s="15">
        <v>468108835</v>
      </c>
      <c r="I12" s="15">
        <v>220483539</v>
      </c>
    </row>
    <row r="13" spans="2:9" ht="19.95" customHeight="1" x14ac:dyDescent="0.4">
      <c r="B13" s="16" t="s">
        <v>42</v>
      </c>
      <c r="C13" s="17">
        <v>782725303</v>
      </c>
      <c r="D13" s="18">
        <v>0.123</v>
      </c>
      <c r="E13" s="17">
        <v>515865618</v>
      </c>
      <c r="F13" s="13" t="s">
        <v>43</v>
      </c>
      <c r="G13" s="19" t="s">
        <v>44</v>
      </c>
      <c r="H13" s="15">
        <v>3221091781</v>
      </c>
      <c r="I13" s="15">
        <v>2122903777</v>
      </c>
    </row>
    <row r="14" spans="2:9" ht="19.95" customHeight="1" x14ac:dyDescent="0.4">
      <c r="B14" s="16" t="s">
        <v>45</v>
      </c>
      <c r="C14" s="17">
        <v>581067727</v>
      </c>
      <c r="D14" s="18">
        <v>9.0999999999999998E-2</v>
      </c>
      <c r="E14" s="17">
        <v>577043824</v>
      </c>
      <c r="F14" s="13" t="s">
        <v>46</v>
      </c>
      <c r="G14" s="19" t="s">
        <v>47</v>
      </c>
      <c r="H14" s="15">
        <v>2391225213</v>
      </c>
      <c r="I14" s="15">
        <v>2374665942</v>
      </c>
    </row>
    <row r="15" spans="2:9" ht="19.95" customHeight="1" x14ac:dyDescent="0.4">
      <c r="B15" s="16" t="s">
        <v>48</v>
      </c>
      <c r="C15" s="17">
        <v>595855810</v>
      </c>
      <c r="D15" s="18">
        <v>9.3000000000000013E-2</v>
      </c>
      <c r="E15" s="17">
        <v>689641012</v>
      </c>
      <c r="F15" s="20" t="s">
        <v>49</v>
      </c>
      <c r="G15" s="19" t="s">
        <v>50</v>
      </c>
      <c r="H15" s="15">
        <v>2452081522</v>
      </c>
      <c r="I15" s="15">
        <v>2838028855</v>
      </c>
    </row>
    <row r="16" spans="2:9" ht="19.95" customHeight="1" x14ac:dyDescent="0.4">
      <c r="B16" s="16" t="s">
        <v>51</v>
      </c>
      <c r="C16" s="17">
        <v>660707372</v>
      </c>
      <c r="D16" s="18">
        <v>0.10299999999999999</v>
      </c>
      <c r="E16" s="17">
        <v>695729780</v>
      </c>
      <c r="F16" s="20" t="s">
        <v>52</v>
      </c>
      <c r="G16" s="19" t="s">
        <v>53</v>
      </c>
      <c r="H16" s="15">
        <v>2718960378</v>
      </c>
      <c r="I16" s="15">
        <v>2863085514</v>
      </c>
    </row>
    <row r="17" spans="2:9" ht="19.95" customHeight="1" x14ac:dyDescent="0.4">
      <c r="B17" s="10" t="s">
        <v>54</v>
      </c>
      <c r="C17" s="11">
        <v>24848387</v>
      </c>
      <c r="D17" s="12">
        <v>4.0000000000000001E-3</v>
      </c>
      <c r="E17" s="11">
        <v>24871173</v>
      </c>
      <c r="F17" s="20" t="s">
        <v>55</v>
      </c>
      <c r="G17" s="14" t="s">
        <v>56</v>
      </c>
      <c r="H17" s="15">
        <v>102256736</v>
      </c>
      <c r="I17" s="15">
        <v>102350506</v>
      </c>
    </row>
    <row r="18" spans="2:9" ht="24" customHeight="1" x14ac:dyDescent="0.4">
      <c r="B18" s="6" t="s">
        <v>57</v>
      </c>
      <c r="C18" s="23">
        <v>6384848090</v>
      </c>
      <c r="D18" s="24">
        <v>1</v>
      </c>
      <c r="E18" s="23">
        <v>6160960222</v>
      </c>
      <c r="F18" s="58" t="s">
        <v>58</v>
      </c>
      <c r="G18" s="56"/>
      <c r="H18" s="23">
        <v>26275095019</v>
      </c>
      <c r="I18" s="23">
        <v>25353745767</v>
      </c>
    </row>
    <row r="19" spans="2:9" ht="13.95" customHeight="1" x14ac:dyDescent="0.4">
      <c r="B19" s="57" t="s">
        <v>59</v>
      </c>
      <c r="C19" s="55"/>
      <c r="D19" s="55"/>
      <c r="E19" s="55"/>
      <c r="F19" s="55"/>
      <c r="G19" s="55"/>
      <c r="H19" s="55"/>
      <c r="I19" s="56"/>
    </row>
  </sheetData>
  <mergeCells count="3">
    <mergeCell ref="B1:I1"/>
    <mergeCell ref="B19:I19"/>
    <mergeCell ref="F18:G18"/>
  </mergeCells>
  <phoneticPr fontId="11" type="noConversion"/>
  <pageMargins left="0.75" right="0.75" top="1" bottom="1" header="0.5" footer="0.5"/>
  <customProperties>
    <customPr name="_pios_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5"/>
  <sheetViews>
    <sheetView showGridLines="0" workbookViewId="0"/>
  </sheetViews>
  <sheetFormatPr defaultRowHeight="17.399999999999999" x14ac:dyDescent="0.4"/>
  <cols>
    <col min="1" max="1" width="2" customWidth="1"/>
    <col min="2" max="2" width="30" customWidth="1"/>
    <col min="3" max="3" width="16" customWidth="1"/>
    <col min="4" max="4" width="12" customWidth="1"/>
    <col min="5" max="5" width="16" customWidth="1"/>
    <col min="6" max="6" width="12" customWidth="1"/>
    <col min="7" max="7" width="32" customWidth="1"/>
  </cols>
  <sheetData>
    <row r="1" spans="2:7" ht="37.950000000000003" customHeight="1" x14ac:dyDescent="0.4">
      <c r="B1" s="54" t="s">
        <v>60</v>
      </c>
      <c r="C1" s="55"/>
      <c r="D1" s="55"/>
      <c r="E1" s="55"/>
      <c r="F1" s="55"/>
      <c r="G1" s="56"/>
    </row>
    <row r="2" spans="2:7" ht="10.050000000000001" customHeight="1" x14ac:dyDescent="0.4"/>
    <row r="3" spans="2:7" ht="30" customHeight="1" x14ac:dyDescent="0.4"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</row>
    <row r="4" spans="2:7" ht="28.05" customHeight="1" x14ac:dyDescent="0.4">
      <c r="B4" s="26" t="s">
        <v>67</v>
      </c>
      <c r="C4" s="27">
        <v>32186991398</v>
      </c>
      <c r="D4" s="7" t="s">
        <v>10</v>
      </c>
      <c r="E4" s="28">
        <v>31058338564</v>
      </c>
      <c r="F4" s="8" t="s">
        <v>68</v>
      </c>
      <c r="G4" s="29"/>
    </row>
    <row r="5" spans="2:7" ht="28.05" customHeight="1" x14ac:dyDescent="0.4">
      <c r="B5" s="25" t="s">
        <v>69</v>
      </c>
      <c r="C5" s="23">
        <v>26275095019</v>
      </c>
      <c r="D5" s="6" t="s">
        <v>9</v>
      </c>
      <c r="E5" s="28">
        <v>25353745767</v>
      </c>
      <c r="F5" s="8" t="s">
        <v>11</v>
      </c>
      <c r="G5" s="29"/>
    </row>
    <row r="6" spans="2:7" ht="28.05" customHeight="1" x14ac:dyDescent="0.4">
      <c r="B6" s="30" t="s">
        <v>70</v>
      </c>
      <c r="C6" s="31">
        <v>10641413483</v>
      </c>
      <c r="D6" s="5" t="s">
        <v>8</v>
      </c>
      <c r="E6" s="28">
        <v>10268267036</v>
      </c>
      <c r="F6" s="8" t="s">
        <v>71</v>
      </c>
      <c r="G6" s="29"/>
    </row>
    <row r="7" spans="2:7" ht="28.05" customHeight="1" x14ac:dyDescent="0.4">
      <c r="B7" s="30" t="s">
        <v>72</v>
      </c>
      <c r="C7" s="31">
        <v>6384848090</v>
      </c>
      <c r="D7" s="5" t="s">
        <v>7</v>
      </c>
      <c r="E7" s="28">
        <v>6160960222</v>
      </c>
      <c r="F7" s="8" t="s">
        <v>73</v>
      </c>
      <c r="G7" s="29"/>
    </row>
    <row r="9" spans="2:7" ht="10.050000000000001" customHeight="1" x14ac:dyDescent="0.4"/>
    <row r="10" spans="2:7" ht="31.95" customHeight="1" x14ac:dyDescent="0.4">
      <c r="B10" s="9" t="s">
        <v>74</v>
      </c>
      <c r="C10" s="9" t="s">
        <v>75</v>
      </c>
      <c r="D10" s="9" t="s">
        <v>76</v>
      </c>
      <c r="E10" s="9" t="s">
        <v>77</v>
      </c>
      <c r="F10" s="9" t="s">
        <v>78</v>
      </c>
      <c r="G10" s="9" t="s">
        <v>79</v>
      </c>
    </row>
    <row r="11" spans="2:7" ht="28.05" customHeight="1" x14ac:dyDescent="0.4">
      <c r="B11" s="32" t="s">
        <v>80</v>
      </c>
      <c r="C11" s="17">
        <v>6384848090</v>
      </c>
      <c r="D11" s="6" t="s">
        <v>7</v>
      </c>
      <c r="E11" s="28">
        <v>6160960222</v>
      </c>
      <c r="F11" s="8" t="s">
        <v>73</v>
      </c>
      <c r="G11" s="33" t="s">
        <v>81</v>
      </c>
    </row>
    <row r="12" spans="2:7" ht="28.05" customHeight="1" x14ac:dyDescent="0.4">
      <c r="B12" s="32" t="s">
        <v>82</v>
      </c>
      <c r="C12" s="17">
        <v>10641413483</v>
      </c>
      <c r="D12" s="6" t="s">
        <v>8</v>
      </c>
      <c r="E12" s="28">
        <v>10268267036</v>
      </c>
      <c r="F12" s="8" t="s">
        <v>71</v>
      </c>
      <c r="G12" s="33" t="s">
        <v>83</v>
      </c>
    </row>
    <row r="13" spans="2:7" ht="28.05" customHeight="1" x14ac:dyDescent="0.4">
      <c r="B13" s="32" t="s">
        <v>84</v>
      </c>
      <c r="C13" s="17">
        <v>26275095019</v>
      </c>
      <c r="D13" s="6" t="s">
        <v>9</v>
      </c>
      <c r="E13" s="28">
        <v>25353745767</v>
      </c>
      <c r="F13" s="8" t="s">
        <v>11</v>
      </c>
      <c r="G13" s="33" t="s">
        <v>85</v>
      </c>
    </row>
    <row r="14" spans="2:7" ht="28.05" customHeight="1" x14ac:dyDescent="0.4">
      <c r="B14" s="32" t="s">
        <v>86</v>
      </c>
      <c r="C14" s="17">
        <v>5911896379</v>
      </c>
      <c r="D14" s="6" t="s">
        <v>87</v>
      </c>
      <c r="E14" s="28">
        <v>5704592797</v>
      </c>
      <c r="F14" s="8" t="s">
        <v>88</v>
      </c>
      <c r="G14" s="33" t="s">
        <v>89</v>
      </c>
    </row>
    <row r="15" spans="2:7" ht="28.05" customHeight="1" x14ac:dyDescent="0.4">
      <c r="B15" s="26" t="s">
        <v>90</v>
      </c>
      <c r="C15" s="27">
        <v>32186991398</v>
      </c>
      <c r="D15" s="34" t="s">
        <v>10</v>
      </c>
      <c r="E15" s="28">
        <v>31058338564</v>
      </c>
      <c r="F15" s="8" t="s">
        <v>68</v>
      </c>
      <c r="G15" s="33" t="s">
        <v>91</v>
      </c>
    </row>
    <row r="17" spans="2:7" ht="10.050000000000001" customHeight="1" x14ac:dyDescent="0.4"/>
    <row r="18" spans="2:7" ht="22.05" customHeight="1" x14ac:dyDescent="0.4">
      <c r="B18" s="60" t="s">
        <v>92</v>
      </c>
      <c r="C18" s="55"/>
      <c r="D18" s="55"/>
      <c r="E18" s="55"/>
      <c r="F18" s="55"/>
      <c r="G18" s="56"/>
    </row>
    <row r="19" spans="2:7" ht="19.95" customHeight="1" x14ac:dyDescent="0.4">
      <c r="B19" s="59" t="s">
        <v>93</v>
      </c>
      <c r="C19" s="55"/>
      <c r="D19" s="55"/>
      <c r="E19" s="55"/>
      <c r="F19" s="55"/>
      <c r="G19" s="56"/>
    </row>
    <row r="20" spans="2:7" ht="19.95" customHeight="1" x14ac:dyDescent="0.4">
      <c r="B20" s="59" t="s">
        <v>94</v>
      </c>
      <c r="C20" s="55"/>
      <c r="D20" s="55"/>
      <c r="E20" s="55"/>
      <c r="F20" s="55"/>
      <c r="G20" s="56"/>
    </row>
    <row r="21" spans="2:7" ht="19.95" customHeight="1" x14ac:dyDescent="0.4">
      <c r="B21" s="59" t="s">
        <v>95</v>
      </c>
      <c r="C21" s="55"/>
      <c r="D21" s="55"/>
      <c r="E21" s="55"/>
      <c r="F21" s="55"/>
      <c r="G21" s="56"/>
    </row>
    <row r="22" spans="2:7" ht="19.95" customHeight="1" x14ac:dyDescent="0.4">
      <c r="B22" s="59" t="s">
        <v>96</v>
      </c>
      <c r="C22" s="55"/>
      <c r="D22" s="55"/>
      <c r="E22" s="55"/>
      <c r="F22" s="55"/>
      <c r="G22" s="56"/>
    </row>
    <row r="23" spans="2:7" ht="19.95" customHeight="1" x14ac:dyDescent="0.4">
      <c r="B23" s="59" t="s">
        <v>97</v>
      </c>
      <c r="C23" s="55"/>
      <c r="D23" s="55"/>
      <c r="E23" s="55"/>
      <c r="F23" s="55"/>
      <c r="G23" s="56"/>
    </row>
    <row r="25" spans="2:7" ht="13.95" customHeight="1" x14ac:dyDescent="0.4">
      <c r="B25" s="57" t="s">
        <v>98</v>
      </c>
      <c r="C25" s="55"/>
      <c r="D25" s="55"/>
      <c r="E25" s="55"/>
      <c r="F25" s="55"/>
      <c r="G25" s="56"/>
    </row>
  </sheetData>
  <mergeCells count="8">
    <mergeCell ref="B25:G25"/>
    <mergeCell ref="B19:G19"/>
    <mergeCell ref="B20:G20"/>
    <mergeCell ref="B22:G22"/>
    <mergeCell ref="B23:G23"/>
    <mergeCell ref="B1:G1"/>
    <mergeCell ref="B18:G18"/>
    <mergeCell ref="B21:G21"/>
  </mergeCells>
  <phoneticPr fontId="11" type="noConversion"/>
  <pageMargins left="0.75" right="0.75" top="1" bottom="1" header="0.5" footer="0.5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7"/>
  <sheetViews>
    <sheetView showGridLines="0" workbookViewId="0"/>
  </sheetViews>
  <sheetFormatPr defaultRowHeight="17.399999999999999" x14ac:dyDescent="0.4"/>
  <cols>
    <col min="1" max="1" width="2" customWidth="1"/>
    <col min="2" max="2" width="8" customWidth="1"/>
    <col min="3" max="13" width="16" customWidth="1"/>
  </cols>
  <sheetData>
    <row r="1" spans="2:13" ht="37.950000000000003" customHeight="1" x14ac:dyDescent="0.4">
      <c r="B1" s="54" t="s">
        <v>99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2:13" ht="31.95" customHeight="1" x14ac:dyDescent="0.4">
      <c r="B2" s="9" t="s">
        <v>13</v>
      </c>
      <c r="C2" s="35" t="s">
        <v>100</v>
      </c>
      <c r="D2" s="9" t="s">
        <v>101</v>
      </c>
      <c r="E2" s="9" t="s">
        <v>102</v>
      </c>
      <c r="F2" s="9" t="s">
        <v>103</v>
      </c>
      <c r="G2" s="9" t="s">
        <v>104</v>
      </c>
      <c r="H2" s="9" t="s">
        <v>105</v>
      </c>
      <c r="I2" s="9" t="s">
        <v>106</v>
      </c>
      <c r="J2" s="9" t="s">
        <v>107</v>
      </c>
      <c r="K2" s="9" t="s">
        <v>108</v>
      </c>
      <c r="L2" s="9" t="s">
        <v>109</v>
      </c>
      <c r="M2" s="6" t="s">
        <v>110</v>
      </c>
    </row>
    <row r="3" spans="2:13" ht="19.95" customHeight="1" x14ac:dyDescent="0.4">
      <c r="B3" s="36" t="s">
        <v>21</v>
      </c>
      <c r="C3" s="11">
        <v>65826</v>
      </c>
      <c r="D3" s="11"/>
      <c r="E3" s="11"/>
      <c r="F3" s="11"/>
      <c r="G3" s="37">
        <v>8420135</v>
      </c>
      <c r="H3" s="11">
        <v>510429</v>
      </c>
      <c r="I3" s="11"/>
      <c r="J3" s="11">
        <v>962500</v>
      </c>
      <c r="K3" s="11"/>
      <c r="L3" s="11">
        <v>1231296</v>
      </c>
      <c r="M3" s="38">
        <v>14046086</v>
      </c>
    </row>
    <row r="4" spans="2:13" ht="19.95" customHeight="1" x14ac:dyDescent="0.4">
      <c r="B4" s="16" t="s">
        <v>24</v>
      </c>
      <c r="C4" s="17">
        <v>53591148</v>
      </c>
      <c r="D4" s="37">
        <v>118377452</v>
      </c>
      <c r="E4" s="17">
        <v>61529492</v>
      </c>
      <c r="F4" s="17">
        <v>69243939</v>
      </c>
      <c r="G4" s="17">
        <v>35658266</v>
      </c>
      <c r="H4" s="17">
        <v>43323493</v>
      </c>
      <c r="I4" s="17">
        <v>29557088</v>
      </c>
      <c r="J4" s="17">
        <v>56169844</v>
      </c>
      <c r="K4" s="17">
        <v>35382155</v>
      </c>
      <c r="L4" s="17">
        <v>21963060</v>
      </c>
      <c r="M4" s="23">
        <v>723399830</v>
      </c>
    </row>
    <row r="5" spans="2:13" ht="19.95" customHeight="1" x14ac:dyDescent="0.4">
      <c r="B5" s="16" t="s">
        <v>27</v>
      </c>
      <c r="C5" s="17">
        <v>82437394</v>
      </c>
      <c r="D5" s="37">
        <v>152640306</v>
      </c>
      <c r="E5" s="17">
        <v>83831870</v>
      </c>
      <c r="F5" s="17">
        <v>31638224</v>
      </c>
      <c r="G5" s="17">
        <v>36017897</v>
      </c>
      <c r="H5" s="17">
        <v>24587433</v>
      </c>
      <c r="I5" s="17">
        <v>36198327</v>
      </c>
      <c r="J5" s="17">
        <v>12372066</v>
      </c>
      <c r="K5" s="17">
        <v>37152182</v>
      </c>
      <c r="L5" s="17">
        <v>22909980</v>
      </c>
      <c r="M5" s="23">
        <v>729574726</v>
      </c>
    </row>
    <row r="6" spans="2:13" ht="19.95" customHeight="1" x14ac:dyDescent="0.4">
      <c r="B6" s="16" t="s">
        <v>30</v>
      </c>
      <c r="C6" s="37">
        <v>77565503</v>
      </c>
      <c r="D6" s="17">
        <v>71389651</v>
      </c>
      <c r="E6" s="17">
        <v>75128497</v>
      </c>
      <c r="F6" s="17">
        <v>23005392</v>
      </c>
      <c r="G6" s="17">
        <v>31048220</v>
      </c>
      <c r="H6" s="17">
        <v>59185778</v>
      </c>
      <c r="I6" s="17">
        <v>35132665</v>
      </c>
      <c r="J6" s="17">
        <v>28798006</v>
      </c>
      <c r="K6" s="17">
        <v>36789354</v>
      </c>
      <c r="L6" s="17">
        <v>21748800</v>
      </c>
      <c r="M6" s="23">
        <v>653473311</v>
      </c>
    </row>
    <row r="7" spans="2:13" ht="19.95" customHeight="1" x14ac:dyDescent="0.4">
      <c r="B7" s="16" t="s">
        <v>33</v>
      </c>
      <c r="C7" s="17">
        <v>83731230</v>
      </c>
      <c r="D7" s="17">
        <v>51949225</v>
      </c>
      <c r="E7" s="17">
        <v>70595567</v>
      </c>
      <c r="F7" s="37">
        <v>84568688</v>
      </c>
      <c r="G7" s="17">
        <v>45500885</v>
      </c>
      <c r="H7" s="17">
        <v>36557235</v>
      </c>
      <c r="I7" s="17">
        <v>39486442</v>
      </c>
      <c r="J7" s="17">
        <v>21238483</v>
      </c>
      <c r="K7" s="17">
        <v>30272769</v>
      </c>
      <c r="L7" s="17">
        <v>19964400</v>
      </c>
      <c r="M7" s="23">
        <v>702970796</v>
      </c>
    </row>
    <row r="8" spans="2:13" ht="19.95" customHeight="1" x14ac:dyDescent="0.4">
      <c r="B8" s="16" t="s">
        <v>111</v>
      </c>
      <c r="C8" s="37">
        <v>120397653</v>
      </c>
      <c r="D8" s="17">
        <v>62543083</v>
      </c>
      <c r="E8" s="17">
        <v>72891422</v>
      </c>
      <c r="F8" s="17">
        <v>91375033</v>
      </c>
      <c r="G8" s="17">
        <v>36604613</v>
      </c>
      <c r="H8" s="17">
        <v>44635323</v>
      </c>
      <c r="I8" s="17">
        <v>32210175</v>
      </c>
      <c r="J8" s="17">
        <v>79320113</v>
      </c>
      <c r="K8" s="17">
        <v>36262723</v>
      </c>
      <c r="L8" s="17">
        <v>23413870</v>
      </c>
      <c r="M8" s="23">
        <v>802428295</v>
      </c>
    </row>
    <row r="9" spans="2:13" ht="19.95" customHeight="1" x14ac:dyDescent="0.4">
      <c r="B9" s="36" t="s">
        <v>39</v>
      </c>
      <c r="C9" s="11">
        <v>10505616</v>
      </c>
      <c r="D9" s="11">
        <v>5499337</v>
      </c>
      <c r="E9" s="11">
        <v>8302088</v>
      </c>
      <c r="F9" s="11">
        <v>6604090</v>
      </c>
      <c r="G9" s="37">
        <v>42927470</v>
      </c>
      <c r="H9" s="11">
        <v>2828657</v>
      </c>
      <c r="I9" s="11">
        <v>1887871</v>
      </c>
      <c r="J9" s="11">
        <v>10618079</v>
      </c>
      <c r="K9" s="11">
        <v>3722705</v>
      </c>
      <c r="L9" s="11">
        <v>5452800</v>
      </c>
      <c r="M9" s="38">
        <v>113750447</v>
      </c>
    </row>
    <row r="10" spans="2:13" ht="19.95" customHeight="1" x14ac:dyDescent="0.4">
      <c r="B10" s="16" t="s">
        <v>42</v>
      </c>
      <c r="C10" s="17">
        <v>77710861</v>
      </c>
      <c r="D10" s="17">
        <v>51190950</v>
      </c>
      <c r="E10" s="17">
        <v>61683492</v>
      </c>
      <c r="F10" s="37">
        <v>112900278</v>
      </c>
      <c r="G10" s="17">
        <v>41593551</v>
      </c>
      <c r="H10" s="17">
        <v>40585206</v>
      </c>
      <c r="I10" s="17">
        <v>43881004</v>
      </c>
      <c r="J10" s="17">
        <v>31958509</v>
      </c>
      <c r="K10" s="17">
        <v>42079467</v>
      </c>
      <c r="L10" s="17">
        <v>27504500</v>
      </c>
      <c r="M10" s="23">
        <v>782725303</v>
      </c>
    </row>
    <row r="11" spans="2:13" ht="19.95" customHeight="1" x14ac:dyDescent="0.4">
      <c r="B11" s="16" t="s">
        <v>45</v>
      </c>
      <c r="C11" s="17">
        <v>47870412</v>
      </c>
      <c r="D11" s="17">
        <v>42281990</v>
      </c>
      <c r="E11" s="17">
        <v>49988177</v>
      </c>
      <c r="F11" s="17">
        <v>38547358</v>
      </c>
      <c r="G11" s="17">
        <v>22171115</v>
      </c>
      <c r="H11" s="17">
        <v>48384839</v>
      </c>
      <c r="I11" s="17">
        <v>27067218</v>
      </c>
      <c r="J11" s="17">
        <v>30939678</v>
      </c>
      <c r="K11" s="17">
        <v>27701650</v>
      </c>
      <c r="L11" s="17">
        <v>12787200</v>
      </c>
      <c r="M11" s="23">
        <v>581067727</v>
      </c>
    </row>
    <row r="12" spans="2:13" ht="19.95" customHeight="1" x14ac:dyDescent="0.4">
      <c r="B12" s="16" t="s">
        <v>48</v>
      </c>
      <c r="C12" s="37">
        <v>73087113</v>
      </c>
      <c r="D12" s="17">
        <v>37558076</v>
      </c>
      <c r="E12" s="17">
        <v>52403988</v>
      </c>
      <c r="F12" s="17">
        <v>46574339</v>
      </c>
      <c r="G12" s="17">
        <v>43176406</v>
      </c>
      <c r="H12" s="17">
        <v>28868942</v>
      </c>
      <c r="I12" s="17">
        <v>33703527</v>
      </c>
      <c r="J12" s="17">
        <v>27627061</v>
      </c>
      <c r="K12" s="17">
        <v>26760700</v>
      </c>
      <c r="L12" s="17">
        <v>30321860</v>
      </c>
      <c r="M12" s="23">
        <v>595855810</v>
      </c>
    </row>
    <row r="13" spans="2:13" ht="19.95" customHeight="1" x14ac:dyDescent="0.4">
      <c r="B13" s="16" t="s">
        <v>51</v>
      </c>
      <c r="C13" s="37">
        <v>69892116</v>
      </c>
      <c r="D13" s="17">
        <v>53251686</v>
      </c>
      <c r="E13" s="17">
        <v>63173052</v>
      </c>
      <c r="F13" s="17">
        <v>60326663</v>
      </c>
      <c r="G13" s="17">
        <v>29915444</v>
      </c>
      <c r="H13" s="17">
        <v>27905094</v>
      </c>
      <c r="I13" s="17">
        <v>52153186</v>
      </c>
      <c r="J13" s="17">
        <v>14907788</v>
      </c>
      <c r="K13" s="17">
        <v>36269180</v>
      </c>
      <c r="L13" s="17">
        <v>37937038</v>
      </c>
      <c r="M13" s="23">
        <v>660707372</v>
      </c>
    </row>
    <row r="14" spans="2:13" ht="19.95" customHeight="1" x14ac:dyDescent="0.4">
      <c r="B14" s="36" t="s">
        <v>54</v>
      </c>
      <c r="C14" s="11">
        <v>1384056</v>
      </c>
      <c r="D14" s="11">
        <v>2106448</v>
      </c>
      <c r="E14" s="11">
        <v>663680</v>
      </c>
      <c r="F14" s="11">
        <v>3346508</v>
      </c>
      <c r="G14" s="11">
        <v>1086130</v>
      </c>
      <c r="H14" s="11">
        <v>631818</v>
      </c>
      <c r="I14" s="11">
        <v>139048</v>
      </c>
      <c r="J14" s="11">
        <v>2720850</v>
      </c>
      <c r="K14" s="37">
        <v>3800000</v>
      </c>
      <c r="L14" s="11">
        <v>1152000</v>
      </c>
      <c r="M14" s="38">
        <v>24848387</v>
      </c>
    </row>
    <row r="15" spans="2:13" ht="25.95" customHeight="1" x14ac:dyDescent="0.4">
      <c r="B15" s="6" t="s">
        <v>57</v>
      </c>
      <c r="C15" s="23">
        <v>698238928</v>
      </c>
      <c r="D15" s="23">
        <v>648788204</v>
      </c>
      <c r="E15" s="23">
        <v>600191325</v>
      </c>
      <c r="F15" s="23">
        <v>568130512</v>
      </c>
      <c r="G15" s="23">
        <v>374120132</v>
      </c>
      <c r="H15" s="23">
        <v>358004247</v>
      </c>
      <c r="I15" s="23">
        <v>331416551</v>
      </c>
      <c r="J15" s="23">
        <v>317632977</v>
      </c>
      <c r="K15" s="23">
        <v>316192885</v>
      </c>
      <c r="L15" s="23">
        <v>226386804</v>
      </c>
      <c r="M15" s="23">
        <v>6384848090</v>
      </c>
    </row>
    <row r="16" spans="2:13" ht="16.05" customHeight="1" x14ac:dyDescent="0.4">
      <c r="C16" s="1" t="s">
        <v>112</v>
      </c>
      <c r="D16" s="1" t="s">
        <v>113</v>
      </c>
      <c r="E16" s="1" t="s">
        <v>114</v>
      </c>
      <c r="F16" s="1" t="s">
        <v>115</v>
      </c>
      <c r="G16" s="1" t="s">
        <v>116</v>
      </c>
      <c r="H16" s="1" t="s">
        <v>117</v>
      </c>
      <c r="I16" s="1" t="s">
        <v>118</v>
      </c>
      <c r="J16" s="1" t="s">
        <v>119</v>
      </c>
      <c r="K16" s="1" t="s">
        <v>119</v>
      </c>
      <c r="L16" s="1" t="s">
        <v>120</v>
      </c>
    </row>
    <row r="17" spans="2:13" ht="13.95" customHeight="1" x14ac:dyDescent="0.4">
      <c r="B17" s="57" t="s">
        <v>121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6"/>
    </row>
  </sheetData>
  <mergeCells count="2">
    <mergeCell ref="B17:M17"/>
    <mergeCell ref="B1:M1"/>
  </mergeCells>
  <phoneticPr fontId="11" type="noConversion"/>
  <pageMargins left="0.75" right="0.75" top="1" bottom="1" header="0.5" footer="0.5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2"/>
  <sheetViews>
    <sheetView workbookViewId="0"/>
  </sheetViews>
  <sheetFormatPr defaultRowHeight="17.399999999999999" x14ac:dyDescent="0.4"/>
  <cols>
    <col min="1" max="1" width="2" customWidth="1"/>
    <col min="2" max="2" width="15" customWidth="1"/>
    <col min="3" max="7" width="24" customWidth="1"/>
  </cols>
  <sheetData>
    <row r="1" spans="2:7" ht="40.049999999999997" customHeight="1" x14ac:dyDescent="0.4">
      <c r="B1" s="63" t="s">
        <v>122</v>
      </c>
      <c r="C1" s="62"/>
      <c r="D1" s="62"/>
      <c r="E1" s="62"/>
      <c r="F1" s="62"/>
      <c r="G1" s="62"/>
    </row>
    <row r="2" spans="2:7" ht="25.95" customHeight="1" x14ac:dyDescent="0.4">
      <c r="B2" s="39" t="s">
        <v>123</v>
      </c>
      <c r="C2" s="40" t="s">
        <v>124</v>
      </c>
      <c r="D2" s="41" t="s">
        <v>125</v>
      </c>
      <c r="E2" s="42" t="s">
        <v>126</v>
      </c>
      <c r="F2" s="43" t="s">
        <v>127</v>
      </c>
      <c r="G2" s="44" t="s">
        <v>128</v>
      </c>
    </row>
    <row r="3" spans="2:7" ht="90" customHeight="1" x14ac:dyDescent="0.4">
      <c r="B3" s="45" t="s">
        <v>129</v>
      </c>
      <c r="C3" s="46" t="s">
        <v>130</v>
      </c>
      <c r="D3" s="46" t="s">
        <v>130</v>
      </c>
      <c r="E3" s="46" t="s">
        <v>130</v>
      </c>
      <c r="F3" s="46" t="s">
        <v>130</v>
      </c>
      <c r="G3" s="46" t="s">
        <v>130</v>
      </c>
    </row>
    <row r="4" spans="2:7" ht="25.95" customHeight="1" x14ac:dyDescent="0.4">
      <c r="B4" s="39" t="s">
        <v>131</v>
      </c>
      <c r="C4" s="40" t="s">
        <v>132</v>
      </c>
      <c r="D4" s="41" t="s">
        <v>133</v>
      </c>
      <c r="E4" s="42" t="s">
        <v>134</v>
      </c>
      <c r="F4" s="43" t="s">
        <v>135</v>
      </c>
      <c r="G4" s="44" t="s">
        <v>136</v>
      </c>
    </row>
    <row r="5" spans="2:7" ht="55.95" customHeight="1" x14ac:dyDescent="0.4">
      <c r="B5" s="45" t="s">
        <v>137</v>
      </c>
      <c r="C5" s="47" t="s">
        <v>138</v>
      </c>
      <c r="D5" s="47" t="s">
        <v>139</v>
      </c>
      <c r="E5" s="47" t="s">
        <v>140</v>
      </c>
      <c r="F5" s="47" t="s">
        <v>141</v>
      </c>
      <c r="G5" s="47" t="s">
        <v>142</v>
      </c>
    </row>
    <row r="6" spans="2:7" ht="31.95" customHeight="1" x14ac:dyDescent="0.4">
      <c r="B6" s="45" t="s">
        <v>143</v>
      </c>
      <c r="C6" s="48" t="s">
        <v>144</v>
      </c>
      <c r="D6" s="48" t="s">
        <v>144</v>
      </c>
      <c r="E6" s="48" t="s">
        <v>145</v>
      </c>
      <c r="F6" s="48" t="s">
        <v>144</v>
      </c>
      <c r="G6" s="48" t="s">
        <v>144</v>
      </c>
    </row>
    <row r="7" spans="2:7" ht="36" customHeight="1" x14ac:dyDescent="0.4">
      <c r="B7" s="45" t="s">
        <v>146</v>
      </c>
      <c r="C7" s="49" t="s">
        <v>147</v>
      </c>
      <c r="D7" s="49" t="s">
        <v>148</v>
      </c>
      <c r="E7" s="49" t="s">
        <v>149</v>
      </c>
      <c r="F7" s="49" t="s">
        <v>150</v>
      </c>
      <c r="G7" s="49" t="s">
        <v>151</v>
      </c>
    </row>
    <row r="8" spans="2:7" ht="70.05" customHeight="1" x14ac:dyDescent="0.4">
      <c r="B8" s="45" t="s">
        <v>152</v>
      </c>
      <c r="C8" s="50" t="s">
        <v>153</v>
      </c>
      <c r="D8" s="50" t="s">
        <v>153</v>
      </c>
      <c r="E8" s="50" t="s">
        <v>153</v>
      </c>
      <c r="F8" s="50" t="s">
        <v>153</v>
      </c>
      <c r="G8" s="50" t="s">
        <v>153</v>
      </c>
    </row>
    <row r="9" spans="2:7" ht="28.05" customHeight="1" x14ac:dyDescent="0.4">
      <c r="B9" s="45" t="s">
        <v>154</v>
      </c>
      <c r="C9" s="51" t="s">
        <v>144</v>
      </c>
      <c r="D9" s="51" t="s">
        <v>144</v>
      </c>
      <c r="E9" s="51" t="s">
        <v>144</v>
      </c>
      <c r="F9" s="51" t="s">
        <v>144</v>
      </c>
      <c r="G9" s="51" t="s">
        <v>144</v>
      </c>
    </row>
    <row r="10" spans="2:7" ht="43.95" customHeight="1" x14ac:dyDescent="0.4">
      <c r="B10" s="45" t="s">
        <v>155</v>
      </c>
      <c r="C10" s="52" t="s">
        <v>156</v>
      </c>
      <c r="D10" s="52" t="s">
        <v>157</v>
      </c>
      <c r="E10" s="52" t="s">
        <v>158</v>
      </c>
      <c r="F10" s="52" t="s">
        <v>159</v>
      </c>
      <c r="G10" s="52" t="s">
        <v>158</v>
      </c>
    </row>
    <row r="11" spans="2:7" ht="43.95" customHeight="1" x14ac:dyDescent="0.4">
      <c r="B11" s="45" t="s">
        <v>160</v>
      </c>
      <c r="C11" s="53"/>
      <c r="D11" s="53"/>
      <c r="E11" s="53"/>
      <c r="F11" s="53"/>
      <c r="G11" s="53"/>
    </row>
    <row r="12" spans="2:7" ht="19.95" customHeight="1" x14ac:dyDescent="0.4">
      <c r="B12" s="61" t="s">
        <v>161</v>
      </c>
      <c r="C12" s="62"/>
      <c r="D12" s="62"/>
      <c r="E12" s="62"/>
      <c r="F12" s="62"/>
      <c r="G12" s="62"/>
    </row>
  </sheetData>
  <mergeCells count="2">
    <mergeCell ref="B12:G12"/>
    <mergeCell ref="B1:G1"/>
  </mergeCells>
  <phoneticPr fontId="11" type="noConversion"/>
  <pageMargins left="0.75" right="0.75" top="1" bottom="1" header="0.5" footer="0.5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학교급식_월별실측</vt:lpstr>
      <vt:lpstr>시장규모_환산</vt:lpstr>
      <vt:lpstr>경쟁사_월별현황</vt:lpstr>
      <vt:lpstr>경쟁사_제품정보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이종원님</cp:lastModifiedBy>
  <dcterms:created xsi:type="dcterms:W3CDTF">2026-05-08T05:21:26Z</dcterms:created>
  <dcterms:modified xsi:type="dcterms:W3CDTF">2026-05-08T06:26:52Z</dcterms:modified>
</cp:coreProperties>
</file>