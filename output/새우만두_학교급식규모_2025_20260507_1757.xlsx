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laude AI\학교급식규모\output\"/>
    </mc:Choice>
  </mc:AlternateContent>
  <xr:revisionPtr revIDLastSave="0" documentId="13_ncr:1_{7AF25BA0-ACBE-41DE-B0CD-D42733FF05C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학교급식_월별실측" sheetId="1" r:id="rId1"/>
    <sheet name="시장규모_환산" sheetId="2" r:id="rId2"/>
    <sheet name="경쟁사_월별현황" sheetId="3" r:id="rId3"/>
    <sheet name="경쟁사_제품정보" sheetId="4" r:id="rId4"/>
  </sheets>
  <calcPr calcId="191029" concurrentManualCount="16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<sst xmlns="http://schemas.openxmlformats.org/spreadsheetml/2006/main" count="187" uniqueCount="147">
  <si>
    <t>【새우만두】  학교급식 FoodnBid 월별 낙찰금액  (2025년 vs 2024년)</t>
  </si>
  <si>
    <t>수도권 FoodnBid 연간</t>
  </si>
  <si>
    <t>수도권 학교급식 추정</t>
  </si>
  <si>
    <t>전국 학교급식 추정</t>
  </si>
  <si>
    <t>전국 급식 전체</t>
  </si>
  <si>
    <t>2024년 전국급식</t>
  </si>
  <si>
    <t>전년 대비 성장</t>
  </si>
  <si>
    <t>5.26억원</t>
  </si>
  <si>
    <t>8.77억원</t>
  </si>
  <si>
    <t>21.6억원</t>
  </si>
  <si>
    <t>약 27억원</t>
  </si>
  <si>
    <t>11.3억원</t>
  </si>
  <si>
    <t>▲ 90.9%</t>
  </si>
  <si>
    <t>월</t>
  </si>
  <si>
    <t>FoodnBid 실측
(2025, 수도권, 원)</t>
  </si>
  <si>
    <t>비중
(%)</t>
  </si>
  <si>
    <t>FoodnBid 실측
(2024, 수도권, 원)</t>
  </si>
  <si>
    <t>전년
동월 대비</t>
  </si>
  <si>
    <t>경쟁사 TOP 3 (낙찰금액)</t>
  </si>
  <si>
    <t>2025 전국학교급식 환산</t>
  </si>
  <si>
    <t>2024 전국학교급식 환산</t>
  </si>
  <si>
    <t>1월</t>
  </si>
  <si>
    <t>N/A</t>
  </si>
  <si>
    <t>① 풀무원 852,346원 | ② 씨제이 388,290원</t>
  </si>
  <si>
    <t>2월</t>
  </si>
  <si>
    <t>▲ 446.4%</t>
  </si>
  <si>
    <t>① 씨제이 12,944,695원 | ② 풀무원 10,546,955원 | ③ 동원 558,894원</t>
  </si>
  <si>
    <t>3월 ★</t>
  </si>
  <si>
    <t>▲ 26464.6%</t>
  </si>
  <si>
    <t>① 대상 52,725,429원 | ② 풀무원 36,002,783원 | ③ 씨제이 19,426,550원</t>
  </si>
  <si>
    <t>4월</t>
  </si>
  <si>
    <t>▲ 345.7%</t>
  </si>
  <si>
    <t>① 대상 48,422,274원 | ② 풀무원 8,425,299원 | ③ 씨제이 6,364,000원</t>
  </si>
  <si>
    <t>5월</t>
  </si>
  <si>
    <t>▲ 863.8%</t>
  </si>
  <si>
    <t>① 씨제이 18,265,080원 | ② 풀무원 18,195,168원 | ③ 대상 16,895,357원</t>
  </si>
  <si>
    <t>6월</t>
  </si>
  <si>
    <t>▲ 586.6%</t>
  </si>
  <si>
    <t>① 파르팜 20,735,986원 | ② 씨제이 19,592,313원 | ③ 대상 13,448,125원</t>
  </si>
  <si>
    <t>7월</t>
  </si>
  <si>
    <t>① 풀무원 6,573,450원 | ② 파르팜 3,302,750원 | ③ 대상 2,023,229원</t>
  </si>
  <si>
    <t>8월</t>
  </si>
  <si>
    <t>▲ 94.4%</t>
  </si>
  <si>
    <t>① 파르팜 16,164,980원 | ② 대상 14,085,138원 | ③ 씨제이 7,622,029원</t>
  </si>
  <si>
    <t>9월</t>
  </si>
  <si>
    <t>▲ 125.1%</t>
  </si>
  <si>
    <t>① 씨제이 33,594,318원 | ② 대상 15,214,795원 | ③ 풀무원 9,871,325원</t>
  </si>
  <si>
    <t>10월</t>
  </si>
  <si>
    <t>▲ 91.2%</t>
  </si>
  <si>
    <t>① 씨제이 24,727,175원 | ② 대상 8,597,781원 | ③ 풀무원 5,024,855원</t>
  </si>
  <si>
    <t>11월</t>
  </si>
  <si>
    <t>▼ 71.0%</t>
  </si>
  <si>
    <t>① 씨제이 22,800,183원 | ② 파르팜 9,112,948원 | ③ 대상 8,326,881원</t>
  </si>
  <si>
    <t>12월</t>
  </si>
  <si>
    <t>▼ 2.3%</t>
  </si>
  <si>
    <t>① 씨제이 4,408,985원 | ② 대상 1,270,500원 | ③ 파르팜 866,642원</t>
  </si>
  <si>
    <t>연간 합계</t>
  </si>
  <si>
    <t>연간 5.26억원  |  전년(2024) 2.76억원  (수도권 FoodnBid 기준)</t>
  </si>
  <si>
    <t>※ 출처: FoodnBid info.foodnbid.com 월별예상금액 (수도권·서울·경기·인천 학교) | 수집일: 2026-05-07</t>
  </si>
  <si>
    <t>【새우만두】  학교급식 시장 규모 환산  (2025년 vs 2024년 비교)</t>
  </si>
  <si>
    <t>구분</t>
  </si>
  <si>
    <t>2025년 수치</t>
  </si>
  <si>
    <t>2025년</t>
  </si>
  <si>
    <t>2024년 수치</t>
  </si>
  <si>
    <t>2024년</t>
  </si>
  <si>
    <t>비고</t>
  </si>
  <si>
    <t>전국 급식 전체 (최종 추정)</t>
  </si>
  <si>
    <t>약 14억원</t>
  </si>
  <si>
    <t>전국 학교급식</t>
  </si>
  <si>
    <t>수도권 학교급식</t>
  </si>
  <si>
    <t>4.59억원</t>
  </si>
  <si>
    <t>FoodnBid 실측 (수도권)</t>
  </si>
  <si>
    <t>2.76억원</t>
  </si>
  <si>
    <t>계산 단계</t>
  </si>
  <si>
    <t>2025년 수치 (원)</t>
  </si>
  <si>
    <t>2025년 억원</t>
  </si>
  <si>
    <t>2024년 수치 (원)</t>
  </si>
  <si>
    <t>2024년 억원</t>
  </si>
  <si>
    <t>산출 근거·가정</t>
  </si>
  <si>
    <t>① 수도권 FoodnBid 연간 실측</t>
  </si>
  <si>
    <t>FoodnBid info.foodnbid.com 실측 (2025년 / 2024년 1~12월)</t>
  </si>
  <si>
    <t>② ÷ FoodnBid 커버리지 60%  →  수도권 학교급식 시장</t>
  </si>
  <si>
    <t>FoodnBid가 수도권 학교급식의 약 60% 커버 (직계약·수의계약 제외)</t>
  </si>
  <si>
    <t>③ ÷ 수도권 학생비율 40.5%  →  전국 학교급식 시장</t>
  </si>
  <si>
    <t>서울+경기 학생 수 / 전국 (교육통계서비스 2024)</t>
  </si>
  <si>
    <t>④ 전국 단체급식 추가 (× 22.5%)</t>
  </si>
  <si>
    <t>4.9억원</t>
  </si>
  <si>
    <t>2.6억원</t>
  </si>
  <si>
    <t>군·병원·기업 단체급식, 학교급식 대비 약 22.5%</t>
  </si>
  <si>
    <t>▶ 전국 급식 전체 합계 (최종)</t>
  </si>
  <si>
    <t>전국 학교급식 + 단체급식 합산</t>
  </si>
  <si>
    <t>환산 방법론 및 주의사항</t>
  </si>
  <si>
    <t>• FoodnBid(info.foodnbid.com)는 수도권(서울·경기·인천) 학교급식 조달 플랫폼으로, 전체 수도권 학교급식의 약 60%를 커버합니다.</t>
  </si>
  <si>
    <t>• 수도권 학생 비율(40.5%)은 교육통계서비스 2024년 기준 초·중·고 재학생 수를 활용합니다.</t>
  </si>
  <si>
    <t>• 단체급식(군·병원·기업) 비중은 학교급식의 약 22.5%로 추정합니다 (업계 통상 기준).</t>
  </si>
  <si>
    <t>• 방학월(1·7·12월)은 학교 운영 없어 실측값이 매우 낮습니다 — 정상 데이터입니다.</t>
  </si>
  <si>
    <t>• 본 데이터는 2025년 및 2024년 FoodnBid 실측 기준이며, 연도별 편차가 존재할 수 있습니다.</t>
  </si>
  <si>
    <t>※ 출처: FoodnBid info.foodnbid.com | 교육통계서비스 kess.kedi.re.kr | 수집일: 2026-05-07</t>
  </si>
  <si>
    <t>【새우만두】  경쟁사 월별 낙찰현황  (2025년)</t>
  </si>
  <si>
    <t>대상
(34.4%)</t>
  </si>
  <si>
    <t>씨제이
(32.3%)</t>
  </si>
  <si>
    <t>풀무원
(21.3%)</t>
  </si>
  <si>
    <t>파르팜
(10.6%)</t>
  </si>
  <si>
    <t>동원
(1.4%)</t>
  </si>
  <si>
    <t>월 합계</t>
  </si>
  <si>
    <t>3월</t>
  </si>
  <si>
    <t>점유율 34.4%</t>
  </si>
  <si>
    <t>점유율 32.3%</t>
  </si>
  <si>
    <t>점유율 21.3%</t>
  </si>
  <si>
    <t>점유율 10.6%</t>
  </si>
  <si>
    <t>점유율 1.4%</t>
  </si>
  <si>
    <t>※ 분홍색 셀 = 해당 월 1위 낙찰사  |  출처: FoodnBid info.foodnbid.com  |  수집일: 2026-05-07</t>
  </si>
  <si>
    <t>【새우만두】  경쟁사 제품 비교  (2025년 FoodnBid 기준)</t>
  </si>
  <si>
    <t>항목</t>
  </si>
  <si>
    <t>FoodnBid 2025 제품 1위</t>
  </si>
  <si>
    <t>FoodnBid 2025 제품 2위</t>
  </si>
  <si>
    <t>FoodnBid 2025 제품 3위</t>
  </si>
  <si>
    <t>FoodnBid 2025 제품 4위</t>
  </si>
  <si>
    <t>제품
이미지</t>
  </si>
  <si>
    <t>[ 제품 이미지
직접 삽입 ]</t>
  </si>
  <si>
    <t>업체명</t>
  </si>
  <si>
    <t>대상</t>
  </si>
  <si>
    <t>씨제이</t>
  </si>
  <si>
    <t>풀무원</t>
  </si>
  <si>
    <t>파르팜</t>
  </si>
  <si>
    <t>제품명</t>
  </si>
  <si>
    <t>청정원 생생통새우만두</t>
  </si>
  <si>
    <t>비비고 통새우만두</t>
  </si>
  <si>
    <t>통통탱글 속이꽉찬 통새우만두</t>
  </si>
  <si>
    <t>탱글탱글 통새우만두</t>
  </si>
  <si>
    <t>중량</t>
  </si>
  <si>
    <t>확인 필요</t>
  </si>
  <si>
    <t>FoodnBid
방학제외 월평균</t>
  </si>
  <si>
    <t>22,214,472원</t>
  </si>
  <si>
    <t>18,370,704원</t>
  </si>
  <si>
    <t>11,628,950원</t>
  </si>
  <si>
    <t>10,279,743원</t>
  </si>
  <si>
    <t>원재료 TOP3
(육함량 직접 기재)</t>
  </si>
  <si>
    <t>① 주원료(원산지 직접확인) - 육함량: 직접 기재
② 소스류(간장·설탕·전분 등) - 직접 기재
③ 향신료·기타 첨가물 - 직접 기재</t>
  </si>
  <si>
    <t>원산지</t>
  </si>
  <si>
    <t>블루시스
학교kg단가</t>
  </si>
  <si>
    <t>33,071원/kg</t>
  </si>
  <si>
    <t>블루시스 미등록</t>
  </si>
  <si>
    <t>26,909원/kg</t>
  </si>
  <si>
    <t>32,000원/kg</t>
  </si>
  <si>
    <t>특이사항</t>
  </si>
  <si>
    <t>※ 출처: FoodnBid info.foodnbid.com  |  방학제외 = 1·7·12월 제외  |  블루시스 학교kg단가: market.bluesis.com 자동 수집  |  이미지·육함량: 직접 입력  |  수집일: 2026-05-07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</si>
</sst>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3" x14ac:knownFonts="1">
    <font>
      <sz val="11"/>
      <color theme="1"/>
      <name val="맑은 고딕"/>
      <family val="2"/>
      <scheme val="minor"/>
    </font>
    <font>
      <b/>
      <sz val="13"/>
      <color rgb="FFFFFFFF"/>
      <name val="맑은 고딕"/>
      <family val="3"/>
      <charset val="129"/>
    </font>
    <font>
      <sz val="9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b/>
      <sz val="10"/>
      <color rgb="FF375623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i/>
      <sz val="8"/>
      <color rgb="FF666666"/>
      <name val="맑은 고딕"/>
      <family val="3"/>
      <charset val="129"/>
    </font>
    <font>
      <i/>
      <sz val="9"/>
      <color rgb="FFBBBBBB"/>
      <name val="맑은 고딕"/>
      <family val="3"/>
      <charset val="129"/>
    </font>
    <font>
      <i/>
      <sz val="8"/>
      <color rgb="FF88888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</fonts>
  <fills count="21">
    <fill>
      <patternFill patternType="none"/>
    </fill>
    <fill>
      <patternFill patternType="gray125"/>
    </fill>
    <fill>
      <patternFill patternType="solid">
        <fgColor rgb="FF2E5F8E"/>
      </patternFill>
    </fill>
    <fill>
      <patternFill patternType="solid">
        <fgColor rgb="FFD6E4F0"/>
      </patternFill>
    </fill>
    <fill>
      <patternFill patternType="solid">
        <fgColor rgb="FFEBF5E1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8F0FE"/>
      </patternFill>
    </fill>
    <fill>
      <patternFill patternType="solid">
        <fgColor rgb="FFE8FFE8"/>
      </patternFill>
    </fill>
    <fill>
      <patternFill patternType="solid">
        <fgColor rgb="FFFFE8E8"/>
      </patternFill>
    </fill>
    <fill>
      <patternFill patternType="solid">
        <fgColor rgb="FFFCE4EC"/>
      </patternFill>
    </fill>
    <fill>
      <patternFill patternType="solid">
        <fgColor rgb="FF1F4E79"/>
      </patternFill>
    </fill>
    <fill>
      <patternFill patternType="solid">
        <fgColor rgb="FFFF6B35"/>
      </patternFill>
    </fill>
    <fill>
      <patternFill patternType="solid">
        <fgColor rgb="FFFF9500"/>
      </patternFill>
    </fill>
    <fill>
      <patternFill patternType="solid">
        <fgColor rgb="FF4CAF50"/>
      </patternFill>
    </fill>
    <fill>
      <patternFill patternType="solid">
        <fgColor rgb="FF2196F3"/>
      </patternFill>
    </fill>
    <fill>
      <patternFill patternType="solid">
        <fgColor rgb="FFF0F0F0"/>
      </patternFill>
    </fill>
    <fill>
      <patternFill patternType="solid">
        <fgColor rgb="FFF9F9F9"/>
      </patternFill>
    </fill>
    <fill>
      <patternFill patternType="solid">
        <fgColor rgb="FFE8F5E9"/>
      </patternFill>
    </fill>
    <fill>
      <patternFill patternType="solid">
        <fgColor rgb="FFFFFDE7"/>
      </patternFill>
    </fill>
    <fill>
      <patternFill patternType="solid">
        <fgColor rgb="FFFFF3E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right" vertical="center"/>
    </xf>
    <xf numFmtId="176" fontId="6" fillId="7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3" fontId="2" fillId="6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/>
    </xf>
    <xf numFmtId="0" fontId="2" fillId="9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right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3" fontId="6" fillId="6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3" fillId="3" borderId="1" xfId="0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3" fontId="5" fillId="10" borderId="1" xfId="0" applyNumberFormat="1" applyFont="1" applyFill="1" applyBorder="1" applyAlignment="1">
      <alignment horizontal="right" vertical="center"/>
    </xf>
    <xf numFmtId="3" fontId="4" fillId="7" borderId="1" xfId="0" applyNumberFormat="1" applyFont="1" applyFill="1" applyBorder="1" applyAlignment="1">
      <alignment horizontal="right" vertical="center"/>
    </xf>
    <xf numFmtId="0" fontId="7" fillId="11" borderId="4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7" fillId="14" borderId="4" xfId="0" applyFont="1" applyFill="1" applyBorder="1" applyAlignment="1">
      <alignment horizontal="center" vertical="center" wrapText="1"/>
    </xf>
    <xf numFmtId="0" fontId="7" fillId="15" borderId="4" xfId="0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 wrapText="1"/>
    </xf>
    <xf numFmtId="0" fontId="9" fillId="17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16" borderId="4" xfId="0" applyFont="1" applyFill="1" applyBorder="1" applyAlignment="1">
      <alignment horizontal="center" vertical="center" wrapText="1"/>
    </xf>
    <xf numFmtId="0" fontId="5" fillId="18" borderId="4" xfId="0" applyFont="1" applyFill="1" applyBorder="1" applyAlignment="1">
      <alignment horizontal="right" vertical="center" wrapText="1"/>
    </xf>
    <xf numFmtId="0" fontId="2" fillId="19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20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/>
    <xf numFmtId="0" fontId="1" fillId="11" borderId="4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새우만두  월별 전국 학교급식 시장규모 환산  </a:t>
            </a:r>
            <a:r>
              <a:rPr lang="en-US" altLang="ko-KR"/>
              <a:t>(2025 </a:t>
            </a:r>
            <a:r>
              <a:rPr lang="en-US"/>
              <a:t>vs 2024)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학교급식_월별실측!$H$5</c:f>
              <c:strCache>
                <c:ptCount val="1"/>
                <c:pt idx="0">
                  <c:v>2025 전국학교급식 환산</c:v>
                </c:pt>
              </c:strCache>
            </c:strRef>
          </c:tx>
          <c:spPr>
            <a:ln w="28800">
              <a:solidFill>
                <a:srgbClr val="1F4E79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1F4E79"/>
              </a:solidFill>
              <a:ln>
                <a:prstDash val="solid"/>
              </a:ln>
            </c:spPr>
          </c:marker>
          <c:cat>
            <c:strRef>
              <c:f>학교급식_월별실측!$B$6:$B$17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 ★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학교급식_월별실측!$H$6:$H$17</c:f>
              <c:numCache>
                <c:formatCode>#,##0</c:formatCode>
                <c:ptCount val="12"/>
                <c:pt idx="0">
                  <c:v>5105497</c:v>
                </c:pt>
                <c:pt idx="1">
                  <c:v>98973432</c:v>
                </c:pt>
                <c:pt idx="2">
                  <c:v>448358790</c:v>
                </c:pt>
                <c:pt idx="3">
                  <c:v>264078222</c:v>
                </c:pt>
                <c:pt idx="4">
                  <c:v>220588950</c:v>
                </c:pt>
                <c:pt idx="5">
                  <c:v>259632213</c:v>
                </c:pt>
                <c:pt idx="6">
                  <c:v>48968843</c:v>
                </c:pt>
                <c:pt idx="7">
                  <c:v>160128534</c:v>
                </c:pt>
                <c:pt idx="8">
                  <c:v>262843374</c:v>
                </c:pt>
                <c:pt idx="9">
                  <c:v>170544769</c:v>
                </c:pt>
                <c:pt idx="10">
                  <c:v>196427831</c:v>
                </c:pt>
                <c:pt idx="11">
                  <c:v>28870773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40-4CF7-ABE4-8C973677CC38}"/>
            </c:ext>
          </c:extLst>
        </c:ser>
        <c:ser>
          <c:idx val="1"/>
          <c:order val="1"/>
          <c:tx>
            <c:strRef>
              <c:f>학교급식_월별실측!$I$5</c:f>
              <c:strCache>
                <c:ptCount val="1"/>
                <c:pt idx="0">
                  <c:v>2024 전국학교급식 환산</c:v>
                </c:pt>
              </c:strCache>
            </c:strRef>
          </c:tx>
          <c:spPr>
            <a:ln w="28800">
              <a:solidFill>
                <a:srgbClr val="E8A838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E8A838"/>
              </a:solidFill>
              <a:ln>
                <a:prstDash val="solid"/>
              </a:ln>
            </c:spPr>
          </c:marker>
          <c:cat>
            <c:strRef>
              <c:f>학교급식_월별실측!$B$6:$B$17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 ★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학교급식_월별실측!$I$6:$I$17</c:f>
              <c:numCache>
                <c:formatCode>#,##0</c:formatCode>
                <c:ptCount val="12"/>
                <c:pt idx="1">
                  <c:v>18114337</c:v>
                </c:pt>
                <c:pt idx="2">
                  <c:v>1687802</c:v>
                </c:pt>
                <c:pt idx="3">
                  <c:v>59244432</c:v>
                </c:pt>
                <c:pt idx="4">
                  <c:v>22888164</c:v>
                </c:pt>
                <c:pt idx="5">
                  <c:v>37812316</c:v>
                </c:pt>
                <c:pt idx="7">
                  <c:v>82352646</c:v>
                </c:pt>
                <c:pt idx="8">
                  <c:v>116774786</c:v>
                </c:pt>
                <c:pt idx="9">
                  <c:v>89177065</c:v>
                </c:pt>
                <c:pt idx="10">
                  <c:v>676539876</c:v>
                </c:pt>
                <c:pt idx="11">
                  <c:v>29543493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40-4CF7-ABE4-8C973677C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월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전국 학교급식 환산 </a:t>
                </a:r>
                <a:r>
                  <a:rPr lang="en-US" altLang="ko-KR"/>
                  <a:t>(</a:t>
                </a:r>
                <a:r>
                  <a:rPr lang="ko-KR" altLang="en-US"/>
                  <a:t>원</a:t>
                </a:r>
                <a:r>
                  <a:rPr lang="en-US" altLang="ko-KR"/>
                  <a:t>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2"/>
  <sheetViews>
    <sheetView showGridLines="0" workbookViewId="0">
      <selection activeCell="G3" sqref="G3"/>
    </sheetView>
  </sheetViews>
  <sheetFormatPr defaultRowHeight="17.399999999999999" x14ac:dyDescent="0.4"/>
  <cols>
    <col min="1" max="1" width="2" customWidth="1"/>
    <col min="2" max="2" width="16.796875" customWidth="1"/>
    <col min="3" max="3" width="20" customWidth="1"/>
    <col min="4" max="4" width="15.8984375" customWidth="1"/>
    <col min="5" max="5" width="20" customWidth="1"/>
    <col min="6" max="6" width="14" customWidth="1"/>
    <col min="7" max="7" width="51.69921875" customWidth="1"/>
    <col min="8" max="9" width="18" customWidth="1"/>
  </cols>
  <sheetData>
    <row r="1" spans="2:9" ht="37.950000000000003" customHeight="1" x14ac:dyDescent="0.4">
      <c r="B1" s="54" t="s">
        <v>0</v>
      </c>
      <c r="C1" s="55"/>
      <c r="D1" s="55"/>
      <c r="E1" s="55"/>
      <c r="F1" s="55"/>
      <c r="G1" s="55"/>
      <c r="H1" s="55"/>
      <c r="I1" s="56"/>
    </row>
    <row r="2" spans="2:9" ht="19.95" customHeight="1" x14ac:dyDescent="0.4">
      <c r="B2" s="1" t="s">
        <v>1</v>
      </c>
      <c r="C2" s="1" t="s">
        <v>2</v>
      </c>
      <c r="D2" s="2" t="s">
        <v>3</v>
      </c>
      <c r="E2" s="3" t="s">
        <v>4</v>
      </c>
      <c r="F2" s="4" t="s">
        <v>5</v>
      </c>
      <c r="G2" s="3" t="s">
        <v>6</v>
      </c>
    </row>
    <row r="3" spans="2:9" ht="25.95" customHeight="1" x14ac:dyDescent="0.4">
      <c r="B3" s="5" t="s">
        <v>7</v>
      </c>
      <c r="C3" s="5" t="s">
        <v>8</v>
      </c>
      <c r="D3" s="6" t="s">
        <v>9</v>
      </c>
      <c r="E3" s="7" t="s">
        <v>10</v>
      </c>
      <c r="F3" s="8" t="s">
        <v>11</v>
      </c>
      <c r="G3" s="64" t="s">
        <v>12</v>
      </c>
    </row>
    <row r="4" spans="2:9" ht="13.95" customHeight="1" x14ac:dyDescent="0.4"/>
    <row r="5" spans="2:9" ht="36" customHeight="1" x14ac:dyDescent="0.4">
      <c r="B5" s="9" t="s">
        <v>13</v>
      </c>
      <c r="C5" s="9" t="s">
        <v>14</v>
      </c>
      <c r="D5" s="9" t="s">
        <v>15</v>
      </c>
      <c r="E5" s="9" t="s">
        <v>16</v>
      </c>
      <c r="F5" s="9" t="s">
        <v>17</v>
      </c>
      <c r="G5" s="9" t="s">
        <v>18</v>
      </c>
      <c r="H5" s="4" t="s">
        <v>19</v>
      </c>
      <c r="I5" s="4" t="s">
        <v>20</v>
      </c>
    </row>
    <row r="6" spans="2:9" ht="19.95" customHeight="1" x14ac:dyDescent="0.4">
      <c r="B6" s="10" t="s">
        <v>21</v>
      </c>
      <c r="C6" s="11">
        <v>1240636</v>
      </c>
      <c r="D6" s="12">
        <v>2E-3</v>
      </c>
      <c r="E6" s="11"/>
      <c r="F6" s="13" t="s">
        <v>22</v>
      </c>
      <c r="G6" s="14" t="s">
        <v>23</v>
      </c>
      <c r="H6" s="15">
        <v>5105497</v>
      </c>
      <c r="I6" s="15"/>
    </row>
    <row r="7" spans="2:9" ht="19.95" customHeight="1" x14ac:dyDescent="0.4">
      <c r="B7" s="16" t="s">
        <v>24</v>
      </c>
      <c r="C7" s="17">
        <v>24050544</v>
      </c>
      <c r="D7" s="18">
        <v>4.5999999999999999E-2</v>
      </c>
      <c r="E7" s="17">
        <v>4401784</v>
      </c>
      <c r="F7" s="19" t="s">
        <v>25</v>
      </c>
      <c r="G7" s="20" t="s">
        <v>26</v>
      </c>
      <c r="H7" s="15">
        <v>98973432</v>
      </c>
      <c r="I7" s="15">
        <v>18114337</v>
      </c>
    </row>
    <row r="8" spans="2:9" ht="19.95" customHeight="1" x14ac:dyDescent="0.4">
      <c r="B8" s="21" t="s">
        <v>27</v>
      </c>
      <c r="C8" s="22">
        <v>108951186</v>
      </c>
      <c r="D8" s="18">
        <v>0.20699999999999999</v>
      </c>
      <c r="E8" s="17">
        <v>410136</v>
      </c>
      <c r="F8" s="19" t="s">
        <v>28</v>
      </c>
      <c r="G8" s="20" t="s">
        <v>29</v>
      </c>
      <c r="H8" s="15">
        <v>448358790</v>
      </c>
      <c r="I8" s="15">
        <v>1687802</v>
      </c>
    </row>
    <row r="9" spans="2:9" ht="19.95" customHeight="1" x14ac:dyDescent="0.4">
      <c r="B9" s="16" t="s">
        <v>30</v>
      </c>
      <c r="C9" s="17">
        <v>64171008</v>
      </c>
      <c r="D9" s="18">
        <v>0.122</v>
      </c>
      <c r="E9" s="17">
        <v>14396397</v>
      </c>
      <c r="F9" s="19" t="s">
        <v>31</v>
      </c>
      <c r="G9" s="20" t="s">
        <v>32</v>
      </c>
      <c r="H9" s="15">
        <v>264078222</v>
      </c>
      <c r="I9" s="15">
        <v>59244432</v>
      </c>
    </row>
    <row r="10" spans="2:9" ht="19.95" customHeight="1" x14ac:dyDescent="0.4">
      <c r="B10" s="16" t="s">
        <v>33</v>
      </c>
      <c r="C10" s="17">
        <v>53603115</v>
      </c>
      <c r="D10" s="18">
        <v>0.10199999999999999</v>
      </c>
      <c r="E10" s="17">
        <v>5561824</v>
      </c>
      <c r="F10" s="19" t="s">
        <v>34</v>
      </c>
      <c r="G10" s="20" t="s">
        <v>35</v>
      </c>
      <c r="H10" s="15">
        <v>220588950</v>
      </c>
      <c r="I10" s="15">
        <v>22888164</v>
      </c>
    </row>
    <row r="11" spans="2:9" ht="19.95" customHeight="1" x14ac:dyDescent="0.4">
      <c r="B11" s="16" t="s">
        <v>36</v>
      </c>
      <c r="C11" s="17">
        <v>63090628</v>
      </c>
      <c r="D11" s="18">
        <v>0.12</v>
      </c>
      <c r="E11" s="17">
        <v>9188393</v>
      </c>
      <c r="F11" s="19" t="s">
        <v>37</v>
      </c>
      <c r="G11" s="20" t="s">
        <v>38</v>
      </c>
      <c r="H11" s="15">
        <v>259632213</v>
      </c>
      <c r="I11" s="15">
        <v>37812316</v>
      </c>
    </row>
    <row r="12" spans="2:9" ht="19.95" customHeight="1" x14ac:dyDescent="0.4">
      <c r="B12" s="10" t="s">
        <v>39</v>
      </c>
      <c r="C12" s="11">
        <v>11899429</v>
      </c>
      <c r="D12" s="12">
        <v>2.3E-2</v>
      </c>
      <c r="E12" s="11"/>
      <c r="F12" s="13" t="s">
        <v>22</v>
      </c>
      <c r="G12" s="14" t="s">
        <v>40</v>
      </c>
      <c r="H12" s="15">
        <v>48968843</v>
      </c>
      <c r="I12" s="15"/>
    </row>
    <row r="13" spans="2:9" ht="19.95" customHeight="1" x14ac:dyDescent="0.4">
      <c r="B13" s="16" t="s">
        <v>41</v>
      </c>
      <c r="C13" s="17">
        <v>38911234</v>
      </c>
      <c r="D13" s="18">
        <v>7.400000000000001E-2</v>
      </c>
      <c r="E13" s="17">
        <v>20011693</v>
      </c>
      <c r="F13" s="19" t="s">
        <v>42</v>
      </c>
      <c r="G13" s="20" t="s">
        <v>43</v>
      </c>
      <c r="H13" s="15">
        <v>160128534</v>
      </c>
      <c r="I13" s="15">
        <v>82352646</v>
      </c>
    </row>
    <row r="14" spans="2:9" ht="19.95" customHeight="1" x14ac:dyDescent="0.4">
      <c r="B14" s="16" t="s">
        <v>44</v>
      </c>
      <c r="C14" s="17">
        <v>63870940</v>
      </c>
      <c r="D14" s="18">
        <v>0.121</v>
      </c>
      <c r="E14" s="17">
        <v>28376273</v>
      </c>
      <c r="F14" s="19" t="s">
        <v>45</v>
      </c>
      <c r="G14" s="20" t="s">
        <v>46</v>
      </c>
      <c r="H14" s="15">
        <v>262843374</v>
      </c>
      <c r="I14" s="15">
        <v>116774786</v>
      </c>
    </row>
    <row r="15" spans="2:9" ht="19.95" customHeight="1" x14ac:dyDescent="0.4">
      <c r="B15" s="16" t="s">
        <v>47</v>
      </c>
      <c r="C15" s="17">
        <v>41442379</v>
      </c>
      <c r="D15" s="18">
        <v>7.9000000000000001E-2</v>
      </c>
      <c r="E15" s="17">
        <v>21670027</v>
      </c>
      <c r="F15" s="19" t="s">
        <v>48</v>
      </c>
      <c r="G15" s="20" t="s">
        <v>49</v>
      </c>
      <c r="H15" s="15">
        <v>170544769</v>
      </c>
      <c r="I15" s="15">
        <v>89177065</v>
      </c>
    </row>
    <row r="16" spans="2:9" ht="19.95" customHeight="1" x14ac:dyDescent="0.4">
      <c r="B16" s="16" t="s">
        <v>50</v>
      </c>
      <c r="C16" s="17">
        <v>47731963</v>
      </c>
      <c r="D16" s="18">
        <v>9.0999999999999998E-2</v>
      </c>
      <c r="E16" s="17">
        <v>164399190</v>
      </c>
      <c r="F16" s="23" t="s">
        <v>51</v>
      </c>
      <c r="G16" s="20" t="s">
        <v>52</v>
      </c>
      <c r="H16" s="15">
        <v>196427831</v>
      </c>
      <c r="I16" s="15">
        <v>676539876</v>
      </c>
    </row>
    <row r="17" spans="2:9" ht="19.95" customHeight="1" x14ac:dyDescent="0.4">
      <c r="B17" s="10" t="s">
        <v>53</v>
      </c>
      <c r="C17" s="11">
        <v>7015598</v>
      </c>
      <c r="D17" s="12">
        <v>1.2999999999999999E-2</v>
      </c>
      <c r="E17" s="11">
        <v>7179069</v>
      </c>
      <c r="F17" s="23" t="s">
        <v>54</v>
      </c>
      <c r="G17" s="14" t="s">
        <v>55</v>
      </c>
      <c r="H17" s="15">
        <v>28870773</v>
      </c>
      <c r="I17" s="15">
        <v>29543493</v>
      </c>
    </row>
    <row r="18" spans="2:9" ht="24" customHeight="1" x14ac:dyDescent="0.4">
      <c r="B18" s="6" t="s">
        <v>56</v>
      </c>
      <c r="C18" s="24">
        <v>525978660</v>
      </c>
      <c r="D18" s="25">
        <v>1</v>
      </c>
      <c r="E18" s="24">
        <v>275594786</v>
      </c>
      <c r="F18" s="58" t="s">
        <v>57</v>
      </c>
      <c r="G18" s="56"/>
      <c r="H18" s="24">
        <v>2164521234</v>
      </c>
      <c r="I18" s="24">
        <v>1134134920</v>
      </c>
    </row>
    <row r="19" spans="2:9" ht="13.95" customHeight="1" x14ac:dyDescent="0.4">
      <c r="B19" s="57" t="s">
        <v>58</v>
      </c>
      <c r="C19" s="55"/>
      <c r="D19" s="55"/>
      <c r="E19" s="55"/>
      <c r="F19" s="55"/>
      <c r="G19" s="55"/>
      <c r="H19" s="55"/>
      <c r="I19" s="56"/>
    </row>
    <row r="22" spans="2:9" x14ac:dyDescent="0.4">
      <c r="H22">
        <v>127800</v>
      </c>
    </row>
  </sheetData>
  <mergeCells count="3">
    <mergeCell ref="B1:I1"/>
    <mergeCell ref="B19:I19"/>
    <mergeCell ref="F18:G18"/>
  </mergeCells>
  <phoneticPr fontId="11" type="noConversion"/>
  <pageMargins left="0.75" right="0.75" top="1" bottom="1" header="0.5" footer="0.5"/>
  <customProperties>
    <customPr name="_pios_id" r:id="rId1"/>
  </customProperti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5"/>
  <sheetViews>
    <sheetView showGridLines="0" workbookViewId="0">
      <selection activeCell="B4" sqref="B4:E7"/>
    </sheetView>
  </sheetViews>
  <sheetFormatPr defaultRowHeight="17.399999999999999" x14ac:dyDescent="0.4"/>
  <cols>
    <col min="1" max="1" width="2" customWidth="1"/>
    <col min="2" max="2" width="30" customWidth="1"/>
    <col min="3" max="3" width="16" customWidth="1"/>
    <col min="4" max="4" width="12" customWidth="1"/>
    <col min="5" max="5" width="16" customWidth="1"/>
    <col min="6" max="6" width="12" customWidth="1"/>
    <col min="7" max="7" width="32" customWidth="1"/>
  </cols>
  <sheetData>
    <row r="1" spans="2:7" ht="37.950000000000003" customHeight="1" x14ac:dyDescent="0.4">
      <c r="B1" s="54" t="s">
        <v>59</v>
      </c>
      <c r="C1" s="55"/>
      <c r="D1" s="55"/>
      <c r="E1" s="55"/>
      <c r="F1" s="55"/>
      <c r="G1" s="56"/>
    </row>
    <row r="2" spans="2:7" ht="10.050000000000001" customHeight="1" x14ac:dyDescent="0.4"/>
    <row r="3" spans="2:7" ht="30" customHeight="1" x14ac:dyDescent="0.4"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G3" s="9" t="s">
        <v>65</v>
      </c>
    </row>
    <row r="4" spans="2:7" ht="28.05" customHeight="1" x14ac:dyDescent="0.4">
      <c r="B4" s="27" t="s">
        <v>66</v>
      </c>
      <c r="C4" s="28">
        <v>2651538511</v>
      </c>
      <c r="D4" s="7" t="s">
        <v>10</v>
      </c>
      <c r="E4" s="29">
        <v>1389315277</v>
      </c>
      <c r="F4" s="8" t="s">
        <v>67</v>
      </c>
      <c r="G4" s="30"/>
    </row>
    <row r="5" spans="2:7" ht="28.05" customHeight="1" x14ac:dyDescent="0.4">
      <c r="B5" s="26" t="s">
        <v>68</v>
      </c>
      <c r="C5" s="24">
        <v>2164521234</v>
      </c>
      <c r="D5" s="6" t="s">
        <v>9</v>
      </c>
      <c r="E5" s="29">
        <v>1134134920</v>
      </c>
      <c r="F5" s="8" t="s">
        <v>11</v>
      </c>
      <c r="G5" s="30"/>
    </row>
    <row r="6" spans="2:7" ht="28.05" customHeight="1" x14ac:dyDescent="0.4">
      <c r="B6" s="31" t="s">
        <v>69</v>
      </c>
      <c r="C6" s="32">
        <v>876631100</v>
      </c>
      <c r="D6" s="5" t="s">
        <v>8</v>
      </c>
      <c r="E6" s="29">
        <v>459324643</v>
      </c>
      <c r="F6" s="8" t="s">
        <v>70</v>
      </c>
      <c r="G6" s="30"/>
    </row>
    <row r="7" spans="2:7" ht="28.05" customHeight="1" x14ac:dyDescent="0.4">
      <c r="B7" s="31" t="s">
        <v>71</v>
      </c>
      <c r="C7" s="32">
        <v>525978660</v>
      </c>
      <c r="D7" s="5" t="s">
        <v>7</v>
      </c>
      <c r="E7" s="29">
        <v>275594786</v>
      </c>
      <c r="F7" s="8" t="s">
        <v>72</v>
      </c>
      <c r="G7" s="30"/>
    </row>
    <row r="9" spans="2:7" ht="10.050000000000001" customHeight="1" x14ac:dyDescent="0.4"/>
    <row r="10" spans="2:7" ht="31.95" customHeight="1" x14ac:dyDescent="0.4">
      <c r="B10" s="9" t="s">
        <v>73</v>
      </c>
      <c r="C10" s="9" t="s">
        <v>74</v>
      </c>
      <c r="D10" s="9" t="s">
        <v>75</v>
      </c>
      <c r="E10" s="9" t="s">
        <v>76</v>
      </c>
      <c r="F10" s="9" t="s">
        <v>77</v>
      </c>
      <c r="G10" s="9" t="s">
        <v>78</v>
      </c>
    </row>
    <row r="11" spans="2:7" ht="28.05" customHeight="1" x14ac:dyDescent="0.4">
      <c r="B11" s="33" t="s">
        <v>79</v>
      </c>
      <c r="C11" s="17">
        <v>525978660</v>
      </c>
      <c r="D11" s="6" t="s">
        <v>7</v>
      </c>
      <c r="E11" s="29">
        <v>275594786</v>
      </c>
      <c r="F11" s="8" t="s">
        <v>72</v>
      </c>
      <c r="G11" s="34" t="s">
        <v>80</v>
      </c>
    </row>
    <row r="12" spans="2:7" ht="28.05" customHeight="1" x14ac:dyDescent="0.4">
      <c r="B12" s="33" t="s">
        <v>81</v>
      </c>
      <c r="C12" s="17">
        <v>876631100</v>
      </c>
      <c r="D12" s="6" t="s">
        <v>8</v>
      </c>
      <c r="E12" s="29">
        <v>459324643</v>
      </c>
      <c r="F12" s="8" t="s">
        <v>70</v>
      </c>
      <c r="G12" s="34" t="s">
        <v>82</v>
      </c>
    </row>
    <row r="13" spans="2:7" ht="28.05" customHeight="1" x14ac:dyDescent="0.4">
      <c r="B13" s="33" t="s">
        <v>83</v>
      </c>
      <c r="C13" s="17">
        <v>2164521234</v>
      </c>
      <c r="D13" s="6" t="s">
        <v>9</v>
      </c>
      <c r="E13" s="29">
        <v>1134134920</v>
      </c>
      <c r="F13" s="8" t="s">
        <v>11</v>
      </c>
      <c r="G13" s="34" t="s">
        <v>84</v>
      </c>
    </row>
    <row r="14" spans="2:7" ht="28.05" customHeight="1" x14ac:dyDescent="0.4">
      <c r="B14" s="33" t="s">
        <v>85</v>
      </c>
      <c r="C14" s="17">
        <v>487017277</v>
      </c>
      <c r="D14" s="6" t="s">
        <v>86</v>
      </c>
      <c r="E14" s="29">
        <v>255180357</v>
      </c>
      <c r="F14" s="8" t="s">
        <v>87</v>
      </c>
      <c r="G14" s="34" t="s">
        <v>88</v>
      </c>
    </row>
    <row r="15" spans="2:7" ht="28.05" customHeight="1" x14ac:dyDescent="0.4">
      <c r="B15" s="27" t="s">
        <v>89</v>
      </c>
      <c r="C15" s="28">
        <v>2651538511</v>
      </c>
      <c r="D15" s="35" t="s">
        <v>10</v>
      </c>
      <c r="E15" s="29">
        <v>1389315277</v>
      </c>
      <c r="F15" s="8" t="s">
        <v>67</v>
      </c>
      <c r="G15" s="34" t="s">
        <v>90</v>
      </c>
    </row>
    <row r="17" spans="2:7" ht="10.050000000000001" customHeight="1" x14ac:dyDescent="0.4"/>
    <row r="18" spans="2:7" ht="22.05" customHeight="1" x14ac:dyDescent="0.4">
      <c r="B18" s="60" t="s">
        <v>91</v>
      </c>
      <c r="C18" s="55"/>
      <c r="D18" s="55"/>
      <c r="E18" s="55"/>
      <c r="F18" s="55"/>
      <c r="G18" s="56"/>
    </row>
    <row r="19" spans="2:7" ht="19.95" customHeight="1" x14ac:dyDescent="0.4">
      <c r="B19" s="59" t="s">
        <v>92</v>
      </c>
      <c r="C19" s="55"/>
      <c r="D19" s="55"/>
      <c r="E19" s="55"/>
      <c r="F19" s="55"/>
      <c r="G19" s="56"/>
    </row>
    <row r="20" spans="2:7" ht="19.95" customHeight="1" x14ac:dyDescent="0.4">
      <c r="B20" s="59" t="s">
        <v>93</v>
      </c>
      <c r="C20" s="55"/>
      <c r="D20" s="55"/>
      <c r="E20" s="55"/>
      <c r="F20" s="55"/>
      <c r="G20" s="56"/>
    </row>
    <row r="21" spans="2:7" ht="19.95" customHeight="1" x14ac:dyDescent="0.4">
      <c r="B21" s="59" t="s">
        <v>94</v>
      </c>
      <c r="C21" s="55"/>
      <c r="D21" s="55"/>
      <c r="E21" s="55"/>
      <c r="F21" s="55"/>
      <c r="G21" s="56"/>
    </row>
    <row r="22" spans="2:7" ht="19.95" customHeight="1" x14ac:dyDescent="0.4">
      <c r="B22" s="59" t="s">
        <v>95</v>
      </c>
      <c r="C22" s="55"/>
      <c r="D22" s="55"/>
      <c r="E22" s="55"/>
      <c r="F22" s="55"/>
      <c r="G22" s="56"/>
    </row>
    <row r="23" spans="2:7" ht="19.95" customHeight="1" x14ac:dyDescent="0.4">
      <c r="B23" s="59" t="s">
        <v>96</v>
      </c>
      <c r="C23" s="55"/>
      <c r="D23" s="55"/>
      <c r="E23" s="55"/>
      <c r="F23" s="55"/>
      <c r="G23" s="56"/>
    </row>
    <row r="25" spans="2:7" ht="13.95" customHeight="1" x14ac:dyDescent="0.4">
      <c r="B25" s="57" t="s">
        <v>97</v>
      </c>
      <c r="C25" s="55"/>
      <c r="D25" s="55"/>
      <c r="E25" s="55"/>
      <c r="F25" s="55"/>
      <c r="G25" s="56"/>
    </row>
  </sheetData>
  <mergeCells count="8">
    <mergeCell ref="B25:G25"/>
    <mergeCell ref="B19:G19"/>
    <mergeCell ref="B20:G20"/>
    <mergeCell ref="B22:G22"/>
    <mergeCell ref="B23:G23"/>
    <mergeCell ref="B1:G1"/>
    <mergeCell ref="B18:G18"/>
    <mergeCell ref="B21:G21"/>
  </mergeCells>
  <phoneticPr fontId="11" type="noConversion"/>
  <pageMargins left="0.75" right="0.75" top="1" bottom="1" header="0.5" footer="0.5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7"/>
  <sheetViews>
    <sheetView showGridLines="0" workbookViewId="0">
      <selection activeCell="C6" sqref="C6"/>
    </sheetView>
  </sheetViews>
  <sheetFormatPr defaultRowHeight="17.399999999999999" x14ac:dyDescent="0.4"/>
  <cols>
    <col min="1" max="1" width="2" customWidth="1"/>
    <col min="2" max="2" width="8" customWidth="1"/>
    <col min="3" max="8" width="16" customWidth="1"/>
  </cols>
  <sheetData>
    <row r="1" spans="2:8" ht="37.950000000000003" customHeight="1" x14ac:dyDescent="0.4">
      <c r="B1" s="54" t="s">
        <v>98</v>
      </c>
      <c r="C1" s="55"/>
      <c r="D1" s="55"/>
      <c r="E1" s="55"/>
      <c r="F1" s="55"/>
      <c r="G1" s="55"/>
      <c r="H1" s="56"/>
    </row>
    <row r="2" spans="2:8" ht="31.95" customHeight="1" x14ac:dyDescent="0.4">
      <c r="B2" s="9" t="s">
        <v>13</v>
      </c>
      <c r="C2" s="36" t="s">
        <v>99</v>
      </c>
      <c r="D2" s="9" t="s">
        <v>100</v>
      </c>
      <c r="E2" s="9" t="s">
        <v>101</v>
      </c>
      <c r="F2" s="9" t="s">
        <v>102</v>
      </c>
      <c r="G2" s="9" t="s">
        <v>103</v>
      </c>
      <c r="H2" s="6" t="s">
        <v>104</v>
      </c>
    </row>
    <row r="3" spans="2:8" ht="19.95" customHeight="1" x14ac:dyDescent="0.4">
      <c r="B3" s="37" t="s">
        <v>21</v>
      </c>
      <c r="C3" s="11"/>
      <c r="D3" s="11">
        <v>388290</v>
      </c>
      <c r="E3" s="38">
        <v>852346</v>
      </c>
      <c r="F3" s="11"/>
      <c r="G3" s="11"/>
      <c r="H3" s="39">
        <v>1240636</v>
      </c>
    </row>
    <row r="4" spans="2:8" ht="19.95" customHeight="1" x14ac:dyDescent="0.4">
      <c r="B4" s="16" t="s">
        <v>24</v>
      </c>
      <c r="C4" s="17"/>
      <c r="D4" s="38">
        <v>12944695</v>
      </c>
      <c r="E4" s="17">
        <v>10546955</v>
      </c>
      <c r="F4" s="17"/>
      <c r="G4" s="17">
        <v>558894</v>
      </c>
      <c r="H4" s="24">
        <v>24050544</v>
      </c>
    </row>
    <row r="5" spans="2:8" ht="19.95" customHeight="1" x14ac:dyDescent="0.4">
      <c r="B5" s="16" t="s">
        <v>105</v>
      </c>
      <c r="C5" s="38">
        <v>52725429</v>
      </c>
      <c r="D5" s="17">
        <v>19426550</v>
      </c>
      <c r="E5" s="17">
        <v>36002783</v>
      </c>
      <c r="F5" s="17"/>
      <c r="G5" s="17">
        <v>796424</v>
      </c>
      <c r="H5" s="24">
        <v>108951186</v>
      </c>
    </row>
    <row r="6" spans="2:8" ht="19.95" customHeight="1" x14ac:dyDescent="0.4">
      <c r="B6" s="16" t="s">
        <v>30</v>
      </c>
      <c r="C6" s="38">
        <v>48422274</v>
      </c>
      <c r="D6" s="17">
        <v>6364000</v>
      </c>
      <c r="E6" s="17">
        <v>8425299</v>
      </c>
      <c r="F6" s="17"/>
      <c r="G6" s="17">
        <v>959435</v>
      </c>
      <c r="H6" s="24">
        <v>64171008</v>
      </c>
    </row>
    <row r="7" spans="2:8" ht="19.95" customHeight="1" x14ac:dyDescent="0.4">
      <c r="B7" s="16" t="s">
        <v>33</v>
      </c>
      <c r="C7" s="17">
        <v>16895357</v>
      </c>
      <c r="D7" s="38">
        <v>18265080</v>
      </c>
      <c r="E7" s="17">
        <v>18195168</v>
      </c>
      <c r="F7" s="17"/>
      <c r="G7" s="17">
        <v>247510</v>
      </c>
      <c r="H7" s="24">
        <v>53603115</v>
      </c>
    </row>
    <row r="8" spans="2:8" ht="19.95" customHeight="1" x14ac:dyDescent="0.4">
      <c r="B8" s="16" t="s">
        <v>36</v>
      </c>
      <c r="C8" s="17">
        <v>13448125</v>
      </c>
      <c r="D8" s="17">
        <v>19592313</v>
      </c>
      <c r="E8" s="17">
        <v>8755310</v>
      </c>
      <c r="F8" s="38">
        <v>20735986</v>
      </c>
      <c r="G8" s="17">
        <v>558894</v>
      </c>
      <c r="H8" s="24">
        <v>63090628</v>
      </c>
    </row>
    <row r="9" spans="2:8" ht="19.95" customHeight="1" x14ac:dyDescent="0.4">
      <c r="B9" s="37" t="s">
        <v>39</v>
      </c>
      <c r="C9" s="11">
        <v>2023229</v>
      </c>
      <c r="D9" s="11"/>
      <c r="E9" s="38">
        <v>6573450</v>
      </c>
      <c r="F9" s="11">
        <v>3302750</v>
      </c>
      <c r="G9" s="11"/>
      <c r="H9" s="39">
        <v>11899429</v>
      </c>
    </row>
    <row r="10" spans="2:8" ht="19.95" customHeight="1" x14ac:dyDescent="0.4">
      <c r="B10" s="16" t="s">
        <v>41</v>
      </c>
      <c r="C10" s="17">
        <v>14085138</v>
      </c>
      <c r="D10" s="17">
        <v>7622029</v>
      </c>
      <c r="E10" s="17">
        <v>1039087</v>
      </c>
      <c r="F10" s="38">
        <v>16164980</v>
      </c>
      <c r="G10" s="17"/>
      <c r="H10" s="24">
        <v>38911234</v>
      </c>
    </row>
    <row r="11" spans="2:8" ht="19.95" customHeight="1" x14ac:dyDescent="0.4">
      <c r="B11" s="16" t="s">
        <v>44</v>
      </c>
      <c r="C11" s="17">
        <v>15214795</v>
      </c>
      <c r="D11" s="38">
        <v>33594318</v>
      </c>
      <c r="E11" s="17">
        <v>9871325</v>
      </c>
      <c r="F11" s="17">
        <v>3556402</v>
      </c>
      <c r="G11" s="17">
        <v>1634100</v>
      </c>
      <c r="H11" s="24">
        <v>63870940</v>
      </c>
    </row>
    <row r="12" spans="2:8" ht="19.95" customHeight="1" x14ac:dyDescent="0.4">
      <c r="B12" s="16" t="s">
        <v>47</v>
      </c>
      <c r="C12" s="17">
        <v>8597781</v>
      </c>
      <c r="D12" s="38">
        <v>24727175</v>
      </c>
      <c r="E12" s="17">
        <v>5024855</v>
      </c>
      <c r="F12" s="17">
        <v>1828403</v>
      </c>
      <c r="G12" s="17">
        <v>1264165</v>
      </c>
      <c r="H12" s="24">
        <v>41442379</v>
      </c>
    </row>
    <row r="13" spans="2:8" ht="19.95" customHeight="1" x14ac:dyDescent="0.4">
      <c r="B13" s="16" t="s">
        <v>50</v>
      </c>
      <c r="C13" s="17">
        <v>8326881</v>
      </c>
      <c r="D13" s="38">
        <v>22800183</v>
      </c>
      <c r="E13" s="17">
        <v>6799775</v>
      </c>
      <c r="F13" s="17">
        <v>9112948</v>
      </c>
      <c r="G13" s="17">
        <v>692176</v>
      </c>
      <c r="H13" s="24">
        <v>47731963</v>
      </c>
    </row>
    <row r="14" spans="2:8" ht="19.95" customHeight="1" x14ac:dyDescent="0.4">
      <c r="B14" s="37" t="s">
        <v>53</v>
      </c>
      <c r="C14" s="11">
        <v>1270500</v>
      </c>
      <c r="D14" s="38">
        <v>4408985</v>
      </c>
      <c r="E14" s="11"/>
      <c r="F14" s="11">
        <v>866642</v>
      </c>
      <c r="G14" s="11">
        <v>469471</v>
      </c>
      <c r="H14" s="39">
        <v>7015598</v>
      </c>
    </row>
    <row r="15" spans="2:8" ht="25.95" customHeight="1" x14ac:dyDescent="0.4">
      <c r="B15" s="6" t="s">
        <v>56</v>
      </c>
      <c r="C15" s="24">
        <v>181009509</v>
      </c>
      <c r="D15" s="24">
        <v>170133618</v>
      </c>
      <c r="E15" s="24">
        <v>112086353</v>
      </c>
      <c r="F15" s="24">
        <v>55568111</v>
      </c>
      <c r="G15" s="24">
        <v>7181069</v>
      </c>
      <c r="H15" s="24">
        <v>525978660</v>
      </c>
    </row>
    <row r="16" spans="2:8" ht="16.05" customHeight="1" x14ac:dyDescent="0.4">
      <c r="C16" s="1" t="s">
        <v>106</v>
      </c>
      <c r="D16" s="1" t="s">
        <v>107</v>
      </c>
      <c r="E16" s="1" t="s">
        <v>108</v>
      </c>
      <c r="F16" s="1" t="s">
        <v>109</v>
      </c>
      <c r="G16" s="1" t="s">
        <v>110</v>
      </c>
    </row>
    <row r="17" spans="2:8" ht="13.95" customHeight="1" x14ac:dyDescent="0.4">
      <c r="B17" s="57" t="s">
        <v>111</v>
      </c>
      <c r="C17" s="55"/>
      <c r="D17" s="55"/>
      <c r="E17" s="55"/>
      <c r="F17" s="55"/>
      <c r="G17" s="55"/>
      <c r="H17" s="56"/>
    </row>
  </sheetData>
  <mergeCells count="2">
    <mergeCell ref="B1:H1"/>
    <mergeCell ref="B17:H17"/>
  </mergeCells>
  <phoneticPr fontId="11" type="noConversion"/>
  <pageMargins left="0.75" right="0.75" top="1" bottom="1" header="0.5" footer="0.5"/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2"/>
  <sheetViews>
    <sheetView tabSelected="1" topLeftCell="A3" workbookViewId="0">
      <selection activeCell="D5" sqref="D5"/>
    </sheetView>
  </sheetViews>
  <sheetFormatPr defaultRowHeight="17.399999999999999" x14ac:dyDescent="0.4"/>
  <cols>
    <col min="1" max="1" width="2" customWidth="1"/>
    <col min="2" max="2" width="15" customWidth="1"/>
    <col min="3" max="6" width="24" customWidth="1"/>
  </cols>
  <sheetData>
    <row r="1" spans="2:6" ht="40.049999999999997" customHeight="1" x14ac:dyDescent="0.4">
      <c r="B1" s="63" t="s">
        <v>112</v>
      </c>
      <c r="C1" s="62"/>
      <c r="D1" s="62"/>
      <c r="E1" s="62"/>
      <c r="F1" s="62"/>
    </row>
    <row r="2" spans="2:6" ht="25.95" customHeight="1" x14ac:dyDescent="0.4">
      <c r="B2" s="40" t="s">
        <v>113</v>
      </c>
      <c r="C2" s="41" t="s">
        <v>114</v>
      </c>
      <c r="D2" s="42" t="s">
        <v>115</v>
      </c>
      <c r="E2" s="43" t="s">
        <v>116</v>
      </c>
      <c r="F2" s="44" t="s">
        <v>117</v>
      </c>
    </row>
    <row r="3" spans="2:6" ht="90" customHeight="1" x14ac:dyDescent="0.4">
      <c r="B3" s="45" t="s">
        <v>118</v>
      </c>
      <c r="C3" s="46" t="s">
        <v>119</v>
      </c>
      <c r="D3" s="46" t="s">
        <v>119</v>
      </c>
      <c r="E3" s="46" t="s">
        <v>119</v>
      </c>
      <c r="F3" s="46" t="s">
        <v>119</v>
      </c>
    </row>
    <row r="4" spans="2:6" ht="25.95" customHeight="1" x14ac:dyDescent="0.4">
      <c r="B4" s="40" t="s">
        <v>120</v>
      </c>
      <c r="C4" s="41" t="s">
        <v>121</v>
      </c>
      <c r="D4" s="42" t="s">
        <v>122</v>
      </c>
      <c r="E4" s="43" t="s">
        <v>123</v>
      </c>
      <c r="F4" s="44" t="s">
        <v>124</v>
      </c>
    </row>
    <row r="5" spans="2:6" ht="55.95" customHeight="1" x14ac:dyDescent="0.4">
      <c r="B5" s="45" t="s">
        <v>125</v>
      </c>
      <c r="C5" s="47" t="s">
        <v>126</v>
      </c>
      <c r="D5" s="47" t="s">
        <v>127</v>
      </c>
      <c r="E5" s="47" t="s">
        <v>128</v>
      </c>
      <c r="F5" s="47" t="s">
        <v>129</v>
      </c>
    </row>
    <row r="6" spans="2:6" ht="31.95" customHeight="1" x14ac:dyDescent="0.4">
      <c r="B6" s="45" t="s">
        <v>130</v>
      </c>
      <c r="C6" s="48" t="s">
        <v>131</v>
      </c>
      <c r="D6" s="48" t="s">
        <v>131</v>
      </c>
      <c r="E6" s="48" t="s">
        <v>131</v>
      </c>
      <c r="F6" s="48" t="s">
        <v>131</v>
      </c>
    </row>
    <row r="7" spans="2:6" ht="36" customHeight="1" x14ac:dyDescent="0.4">
      <c r="B7" s="45" t="s">
        <v>132</v>
      </c>
      <c r="C7" s="49" t="s">
        <v>133</v>
      </c>
      <c r="D7" s="49" t="s">
        <v>134</v>
      </c>
      <c r="E7" s="49" t="s">
        <v>135</v>
      </c>
      <c r="F7" s="49" t="s">
        <v>136</v>
      </c>
    </row>
    <row r="8" spans="2:6" ht="70.05" customHeight="1" x14ac:dyDescent="0.4">
      <c r="B8" s="45" t="s">
        <v>137</v>
      </c>
      <c r="C8" s="50" t="s">
        <v>138</v>
      </c>
      <c r="D8" s="50" t="s">
        <v>138</v>
      </c>
      <c r="E8" s="50" t="s">
        <v>138</v>
      </c>
      <c r="F8" s="50" t="s">
        <v>138</v>
      </c>
    </row>
    <row r="9" spans="2:6" ht="28.05" customHeight="1" x14ac:dyDescent="0.4">
      <c r="B9" s="45" t="s">
        <v>139</v>
      </c>
      <c r="C9" s="51" t="s">
        <v>131</v>
      </c>
      <c r="D9" s="51" t="s">
        <v>131</v>
      </c>
      <c r="E9" s="51" t="s">
        <v>131</v>
      </c>
      <c r="F9" s="51" t="s">
        <v>131</v>
      </c>
    </row>
    <row r="10" spans="2:6" ht="43.95" customHeight="1" x14ac:dyDescent="0.4">
      <c r="B10" s="45" t="s">
        <v>140</v>
      </c>
      <c r="C10" s="52" t="s">
        <v>141</v>
      </c>
      <c r="D10" s="52" t="s">
        <v>142</v>
      </c>
      <c r="E10" s="52" t="s">
        <v>143</v>
      </c>
      <c r="F10" s="52" t="s">
        <v>144</v>
      </c>
    </row>
    <row r="11" spans="2:6" ht="43.95" customHeight="1" x14ac:dyDescent="0.4">
      <c r="B11" s="45" t="s">
        <v>145</v>
      </c>
      <c r="C11" s="53"/>
      <c r="D11" s="53"/>
      <c r="E11" s="53"/>
      <c r="F11" s="53"/>
    </row>
    <row r="12" spans="2:6" ht="19.95" customHeight="1" x14ac:dyDescent="0.4">
      <c r="B12" s="61" t="s">
        <v>146</v>
      </c>
      <c r="C12" s="62"/>
      <c r="D12" s="62"/>
      <c r="E12" s="62"/>
      <c r="F12" s="62"/>
    </row>
  </sheetData>
  <mergeCells count="2">
    <mergeCell ref="B12:F12"/>
    <mergeCell ref="B1:F1"/>
  </mergeCells>
  <phoneticPr fontId="11" type="noConversion"/>
  <pageMargins left="0.75" right="0.75" top="1" bottom="1" header="0.5" footer="0.5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학교급식_월별실측</vt:lpstr>
      <vt:lpstr>시장규모_환산</vt:lpstr>
      <vt:lpstr>경쟁사_월별현황</vt:lpstr>
      <vt:lpstr>경쟁사_제품정보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이종원님</cp:lastModifiedBy>
  <dcterms:created xsi:type="dcterms:W3CDTF">2026-05-07T08:57:42Z</dcterms:created>
  <dcterms:modified xsi:type="dcterms:W3CDTF">2026-05-08T06:27:09Z</dcterms:modified>
</cp:coreProperties>
</file>