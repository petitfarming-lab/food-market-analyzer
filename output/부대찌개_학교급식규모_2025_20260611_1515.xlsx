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교급식_월별실측" sheetId="1" state="visible" r:id="rId1"/>
    <sheet xmlns:r="http://schemas.openxmlformats.org/officeDocument/2006/relationships" name="시장규모_환산" sheetId="2" state="visible" r:id="rId2"/>
    <sheet xmlns:r="http://schemas.openxmlformats.org/officeDocument/2006/relationships" name="경쟁사_월별현황" sheetId="3" state="visible" r:id="rId3"/>
    <sheet xmlns:r="http://schemas.openxmlformats.org/officeDocument/2006/relationships" name="경쟁사_제품정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sz val="9"/>
    </font>
    <font>
      <name val="맑은 고딕"/>
      <b val="1"/>
      <color rgb="001F4E79"/>
      <sz val="10"/>
    </font>
    <font>
      <name val="맑은 고딕"/>
      <b val="1"/>
      <color rgb="00375623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  <font>
      <name val="맑은 고딕"/>
      <i val="1"/>
      <color rgb="00666666"/>
      <sz val="8"/>
    </font>
    <font>
      <name val="맑은 고딕"/>
      <i val="1"/>
      <color rgb="00BBBBBB"/>
      <sz val="9"/>
    </font>
    <font>
      <name val="맑은 고딕"/>
      <i val="1"/>
      <color rgb="00888888"/>
      <sz val="8"/>
    </font>
  </fonts>
  <fills count="22">
    <fill>
      <patternFill/>
    </fill>
    <fill>
      <patternFill patternType="gray125"/>
    </fill>
    <fill>
      <patternFill patternType="solid">
        <fgColor rgb="002E5F8E"/>
      </patternFill>
    </fill>
    <fill>
      <patternFill patternType="solid">
        <fgColor rgb="00D6E4F0"/>
      </patternFill>
    </fill>
    <fill>
      <patternFill patternType="solid">
        <fgColor rgb="00EBF5E1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8F0FE"/>
      </patternFill>
    </fill>
    <fill>
      <patternFill patternType="solid">
        <fgColor rgb="00FFE8E8"/>
      </patternFill>
    </fill>
    <fill>
      <patternFill patternType="solid">
        <fgColor rgb="00E8FFE8"/>
      </patternFill>
    </fill>
    <fill>
      <patternFill patternType="solid">
        <fgColor rgb="00FCE4EC"/>
      </patternFill>
    </fill>
    <fill>
      <patternFill patternType="solid">
        <fgColor rgb="001F4E79"/>
      </patternFill>
    </fill>
    <fill>
      <patternFill patternType="solid">
        <fgColor rgb="00FF6B35"/>
      </patternFill>
    </fill>
    <fill>
      <patternFill patternType="solid">
        <fgColor rgb="00FF9500"/>
      </patternFill>
    </fill>
    <fill>
      <patternFill patternType="solid">
        <fgColor rgb="004CAF50"/>
      </patternFill>
    </fill>
    <fill>
      <patternFill patternType="solid">
        <fgColor rgb="002196F3"/>
      </patternFill>
    </fill>
    <fill>
      <patternFill patternType="solid">
        <fgColor rgb="009C27B0"/>
      </patternFill>
    </fill>
    <fill>
      <patternFill patternType="solid">
        <fgColor rgb="00F0F0F0"/>
      </patternFill>
    </fill>
    <fill>
      <patternFill patternType="solid">
        <fgColor rgb="00F9F9F9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FFF3E0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3" fontId="6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3" fontId="2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3" fontId="5" fillId="10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1" fillId="11" borderId="6" applyAlignment="1" pivotButton="0" quotePrefix="0" xfId="0">
      <alignment horizontal="center" vertical="center" wrapText="1"/>
    </xf>
    <xf numFmtId="0" fontId="7" fillId="11" borderId="6" applyAlignment="1" pivotButton="0" quotePrefix="0" xfId="0">
      <alignment horizontal="center" vertical="center" wrapText="1"/>
    </xf>
    <xf numFmtId="0" fontId="7" fillId="12" borderId="6" applyAlignment="1" pivotButton="0" quotePrefix="0" xfId="0">
      <alignment horizontal="center" vertical="center" wrapText="1"/>
    </xf>
    <xf numFmtId="0" fontId="7" fillId="13" borderId="6" applyAlignment="1" pivotButton="0" quotePrefix="0" xfId="0">
      <alignment horizontal="center" vertical="center" wrapText="1"/>
    </xf>
    <xf numFmtId="0" fontId="7" fillId="14" borderId="6" applyAlignment="1" pivotButton="0" quotePrefix="0" xfId="0">
      <alignment horizontal="center" vertical="center" wrapText="1"/>
    </xf>
    <xf numFmtId="0" fontId="7" fillId="15" borderId="6" applyAlignment="1" pivotButton="0" quotePrefix="0" xfId="0">
      <alignment horizontal="center" vertical="center" wrapText="1"/>
    </xf>
    <xf numFmtId="0" fontId="7" fillId="16" borderId="6" applyAlignment="1" pivotButton="0" quotePrefix="0" xfId="0">
      <alignment horizontal="center" vertical="center" wrapText="1"/>
    </xf>
    <xf numFmtId="0" fontId="3" fillId="17" borderId="6" applyAlignment="1" pivotButton="0" quotePrefix="0" xfId="0">
      <alignment horizontal="center" vertical="center" wrapText="1"/>
    </xf>
    <xf numFmtId="0" fontId="0" fillId="18" borderId="6" pivotButton="0" quotePrefix="0" xfId="0"/>
    <xf numFmtId="0" fontId="9" fillId="18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6" fillId="17" borderId="6" applyAlignment="1" pivotButton="0" quotePrefix="0" xfId="0">
      <alignment horizontal="center" vertical="center" wrapText="1"/>
    </xf>
    <xf numFmtId="0" fontId="5" fillId="19" borderId="6" applyAlignment="1" pivotButton="0" quotePrefix="0" xfId="0">
      <alignment horizontal="right" vertical="center" wrapText="1"/>
    </xf>
    <xf numFmtId="0" fontId="2" fillId="20" borderId="6" applyAlignment="1" pivotButton="0" quotePrefix="0" xfId="0">
      <alignment horizontal="left" vertical="center" wrapText="1"/>
    </xf>
    <xf numFmtId="0" fontId="2" fillId="21" borderId="6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부대찌개  월별 전국 학교급식 시장규모 환산  (2025 vs 2024)</a:t>
            </a:r>
          </a:p>
        </rich>
      </tx>
    </title>
    <plotArea>
      <lineChart>
        <grouping val="standard"/>
        <ser>
          <idx val="0"/>
          <order val="0"/>
          <tx>
            <strRef>
              <f>'학교급식_월별실측'!H5</f>
            </strRef>
          </tx>
          <spPr>
            <a:ln xmlns:a="http://schemas.openxmlformats.org/drawingml/2006/main" w="28800">
              <a:solidFill>
                <a:srgbClr val="1F4E79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prstDash val="solid"/>
              </a:ln>
            </spPr>
          </marker>
          <cat>
            <numRef>
              <f>'학교급식_월별실측'!$B$6:$B$17</f>
            </numRef>
          </cat>
          <val>
            <numRef>
              <f>'학교급식_월별실측'!$H$6:$H$17</f>
            </numRef>
          </val>
          <smooth val="0"/>
        </ser>
        <ser>
          <idx val="1"/>
          <order val="1"/>
          <tx>
            <strRef>
              <f>'학교급식_월별실측'!I5</f>
            </strRef>
          </tx>
          <spPr>
            <a:ln xmlns:a="http://schemas.openxmlformats.org/drawingml/2006/main" w="28800">
              <a:solidFill>
                <a:srgbClr val="E8A838"/>
              </a:solidFill>
              <a:prstDash val="solid"/>
            </a:ln>
          </spPr>
          <marker>
            <symbol val="diamond"/>
            <size val="7"/>
            <spPr>
              <a:solidFill xmlns:a="http://schemas.openxmlformats.org/drawingml/2006/main">
                <a:srgbClr val="E8A838"/>
              </a:solidFill>
              <a:ln xmlns:a="http://schemas.openxmlformats.org/drawingml/2006/main">
                <a:prstDash val="solid"/>
              </a:ln>
            </spPr>
          </marker>
          <cat>
            <numRef>
              <f>'학교급식_월별실측'!$B$6:$B$17</f>
            </numRef>
          </cat>
          <val>
            <numRef>
              <f>'학교급식_월별실측'!$I$6:$I$17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전국 학교급식 환산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png" Id="rId3"/><Relationship Type="http://schemas.openxmlformats.org/officeDocument/2006/relationships/image" Target="/xl/media/image4.jpeg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2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85725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85725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</row>
      <rowOff>0</rowOff>
    </from>
    <ext cx="85725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20" customWidth="1" min="3" max="3"/>
    <col width="10" customWidth="1" min="4" max="4"/>
    <col width="20" customWidth="1" min="5" max="5"/>
    <col width="14" customWidth="1" min="6" max="6"/>
    <col width="42" customWidth="1" min="7" max="7"/>
    <col width="18" customWidth="1" min="8" max="8"/>
    <col width="18" customWidth="1" min="9" max="9"/>
  </cols>
  <sheetData>
    <row r="1" ht="38" customHeight="1">
      <c r="B1" s="1" t="inlineStr">
        <is>
          <t>【부대찌개】  학교급식 FoodnBid 월별 낙찰금액  (2025년 vs 2024년)</t>
        </is>
      </c>
      <c r="C1" s="41" t="n"/>
      <c r="D1" s="41" t="n"/>
      <c r="E1" s="41" t="n"/>
      <c r="F1" s="41" t="n"/>
      <c r="G1" s="41" t="n"/>
      <c r="H1" s="41" t="n"/>
      <c r="I1" s="42" t="n"/>
    </row>
    <row r="2" ht="20" customHeight="1">
      <c r="B2" s="2" t="inlineStr">
        <is>
          <t>수도권 FoodnBid 연간</t>
        </is>
      </c>
      <c r="C2" s="2" t="inlineStr">
        <is>
          <t>수도권 학교급식 추정</t>
        </is>
      </c>
      <c r="D2" s="3" t="inlineStr">
        <is>
          <t>전국 학교급식 추정</t>
        </is>
      </c>
      <c r="E2" s="4" t="inlineStr">
        <is>
          <t>전국 급식 전체</t>
        </is>
      </c>
      <c r="F2" s="5" t="inlineStr">
        <is>
          <t>2024년 전국급식</t>
        </is>
      </c>
      <c r="G2" s="4" t="inlineStr">
        <is>
          <t>전년 대비 성장</t>
        </is>
      </c>
    </row>
    <row r="3" ht="26" customHeight="1">
      <c r="B3" s="6" t="inlineStr">
        <is>
          <t>30.60억원</t>
        </is>
      </c>
      <c r="C3" s="6" t="inlineStr">
        <is>
          <t>51.00억원</t>
        </is>
      </c>
      <c r="D3" s="7" t="inlineStr">
        <is>
          <t>125.9억원</t>
        </is>
      </c>
      <c r="E3" s="8" t="inlineStr">
        <is>
          <t>약 154억원</t>
        </is>
      </c>
      <c r="F3" s="9" t="inlineStr">
        <is>
          <t>117.9억원</t>
        </is>
      </c>
      <c r="G3" s="8" t="inlineStr">
        <is>
          <t>▲ 6.8%</t>
        </is>
      </c>
    </row>
    <row r="4" ht="14" customHeight="1"/>
    <row r="5" ht="36" customHeight="1">
      <c r="B5" s="10" t="inlineStr">
        <is>
          <t>월</t>
        </is>
      </c>
      <c r="C5" s="10" t="inlineStr">
        <is>
          <t>FoodnBid 실측
(2025, 수도권, 원)</t>
        </is>
      </c>
      <c r="D5" s="10" t="inlineStr">
        <is>
          <t>비중
(%)</t>
        </is>
      </c>
      <c r="E5" s="10" t="inlineStr">
        <is>
          <t>FoodnBid 실측
(2024, 수도권, 원)</t>
        </is>
      </c>
      <c r="F5" s="10" t="inlineStr">
        <is>
          <t>전년
동월 대비</t>
        </is>
      </c>
      <c r="G5" s="10" t="inlineStr">
        <is>
          <t>경쟁사 TOP 3 (낙찰금액)</t>
        </is>
      </c>
      <c r="H5" s="5" t="inlineStr">
        <is>
          <t>2025 전국학교급식 환산</t>
        </is>
      </c>
      <c r="I5" s="5" t="inlineStr">
        <is>
          <t>2024 전국학교급식 환산</t>
        </is>
      </c>
    </row>
    <row r="6" ht="20" customHeight="1">
      <c r="B6" s="11" t="inlineStr">
        <is>
          <t>1월</t>
        </is>
      </c>
      <c r="C6" s="12" t="n">
        <v>3635680</v>
      </c>
      <c r="D6" s="13" t="n">
        <v>0.001</v>
      </c>
      <c r="E6" s="12" t="n">
        <v>5054322</v>
      </c>
      <c r="F6" s="14" t="inlineStr">
        <is>
          <t>▼ 28.1%</t>
        </is>
      </c>
      <c r="G6" s="15" t="inlineStr">
        <is>
          <t>① 선진FS 2,348,778원 | ② 아워홈 659,710원 | ③ 서안이가 158,355원</t>
        </is>
      </c>
      <c r="H6" s="16" t="n">
        <v>14961646</v>
      </c>
      <c r="I6" s="16" t="n">
        <v>20799679</v>
      </c>
    </row>
    <row r="7" ht="20" customHeight="1">
      <c r="B7" s="17" t="inlineStr">
        <is>
          <t>2월 ★</t>
        </is>
      </c>
      <c r="C7" s="18" t="n">
        <v>390906776</v>
      </c>
      <c r="D7" s="19" t="n">
        <v>0.128</v>
      </c>
      <c r="E7" s="20" t="n">
        <v>346511303</v>
      </c>
      <c r="F7" s="21" t="inlineStr">
        <is>
          <t>▲ 12.8%</t>
        </is>
      </c>
      <c r="G7" s="22" t="inlineStr">
        <is>
          <t>① 선진FS 179,661,663원 | ② 대상 75,338,399원 | ③ 씨제이 34,625,823원</t>
        </is>
      </c>
      <c r="H7" s="16" t="n">
        <v>1608669860</v>
      </c>
      <c r="I7" s="16" t="n">
        <v>1425972440</v>
      </c>
    </row>
    <row r="8" ht="20" customHeight="1">
      <c r="B8" s="23" t="inlineStr">
        <is>
          <t>3월</t>
        </is>
      </c>
      <c r="C8" s="20" t="n">
        <v>320969620</v>
      </c>
      <c r="D8" s="19" t="n">
        <v>0.105</v>
      </c>
      <c r="E8" s="20" t="n">
        <v>302458615</v>
      </c>
      <c r="F8" s="21" t="inlineStr">
        <is>
          <t>▲ 6.1%</t>
        </is>
      </c>
      <c r="G8" s="22" t="inlineStr">
        <is>
          <t>① 선진FS 147,433,658원 | ② 대상 62,896,828원 | ③ 씨제이 31,633,518원</t>
        </is>
      </c>
      <c r="H8" s="16" t="n">
        <v>1320862633</v>
      </c>
      <c r="I8" s="16" t="n">
        <v>1244685658</v>
      </c>
    </row>
    <row r="9" ht="20" customHeight="1">
      <c r="B9" s="23" t="inlineStr">
        <is>
          <t>4월</t>
        </is>
      </c>
      <c r="C9" s="20" t="n">
        <v>298664667</v>
      </c>
      <c r="D9" s="19" t="n">
        <v>0.098</v>
      </c>
      <c r="E9" s="20" t="n">
        <v>296358148</v>
      </c>
      <c r="F9" s="21" t="inlineStr">
        <is>
          <t>▲ 0.8%</t>
        </is>
      </c>
      <c r="G9" s="22" t="inlineStr">
        <is>
          <t>① 선진FS 141,541,247원 | ② 대상 56,530,093원 | ③ 씨제이 24,614,105원</t>
        </is>
      </c>
      <c r="H9" s="16" t="n">
        <v>1229072703</v>
      </c>
      <c r="I9" s="16" t="n">
        <v>1219580855</v>
      </c>
    </row>
    <row r="10" ht="20" customHeight="1">
      <c r="B10" s="23" t="inlineStr">
        <is>
          <t>5월</t>
        </is>
      </c>
      <c r="C10" s="20" t="n">
        <v>323905773</v>
      </c>
      <c r="D10" s="19" t="n">
        <v>0.106</v>
      </c>
      <c r="E10" s="20" t="n">
        <v>294892810</v>
      </c>
      <c r="F10" s="21" t="inlineStr">
        <is>
          <t>▲ 9.8%</t>
        </is>
      </c>
      <c r="G10" s="22" t="inlineStr">
        <is>
          <t>① 선진FS 141,078,664원 | ② 대상 66,056,280원 | ③ 씨제이 33,661,872원</t>
        </is>
      </c>
      <c r="H10" s="16" t="n">
        <v>1332945567</v>
      </c>
      <c r="I10" s="16" t="n">
        <v>1213550658</v>
      </c>
    </row>
    <row r="11" ht="20" customHeight="1">
      <c r="B11" s="23" t="inlineStr">
        <is>
          <t>6월</t>
        </is>
      </c>
      <c r="C11" s="20" t="n">
        <v>364455879</v>
      </c>
      <c r="D11" s="19" t="n">
        <v>0.119</v>
      </c>
      <c r="E11" s="20" t="n">
        <v>366786591</v>
      </c>
      <c r="F11" s="14" t="inlineStr">
        <is>
          <t>▼ 0.6%</t>
        </is>
      </c>
      <c r="G11" s="22" t="inlineStr">
        <is>
          <t>① 선진FS 166,843,896원 | ② 대상 73,681,404원 | ③ 씨제이 32,155,518원</t>
        </is>
      </c>
      <c r="H11" s="16" t="n">
        <v>1499818432</v>
      </c>
      <c r="I11" s="16" t="n">
        <v>1509409839</v>
      </c>
    </row>
    <row r="12" ht="20" customHeight="1">
      <c r="B12" s="11" t="inlineStr">
        <is>
          <t>7월</t>
        </is>
      </c>
      <c r="C12" s="12" t="n">
        <v>36276385</v>
      </c>
      <c r="D12" s="13" t="n">
        <v>0.012</v>
      </c>
      <c r="E12" s="12" t="n">
        <v>41596557</v>
      </c>
      <c r="F12" s="14" t="inlineStr">
        <is>
          <t>▼ 12.8%</t>
        </is>
      </c>
      <c r="G12" s="15" t="inlineStr">
        <is>
          <t>① 선진FS 15,019,049원 | ② 씨제이 5,876,898원 | ③ 대상 5,173,331원</t>
        </is>
      </c>
      <c r="H12" s="16" t="n">
        <v>149285534</v>
      </c>
      <c r="I12" s="16" t="n">
        <v>171179246</v>
      </c>
    </row>
    <row r="13" ht="20" customHeight="1">
      <c r="B13" s="23" t="inlineStr">
        <is>
          <t>8월</t>
        </is>
      </c>
      <c r="C13" s="20" t="n">
        <v>373310773</v>
      </c>
      <c r="D13" s="19" t="n">
        <v>0.122</v>
      </c>
      <c r="E13" s="20" t="n">
        <v>303339403</v>
      </c>
      <c r="F13" s="21" t="inlineStr">
        <is>
          <t>▲ 23.1%</t>
        </is>
      </c>
      <c r="G13" s="22" t="inlineStr">
        <is>
          <t>① 선진FS 182,558,495원 | ② 대상 66,810,017원 | ③ 씨제이 34,124,115원</t>
        </is>
      </c>
      <c r="H13" s="16" t="n">
        <v>1536258325</v>
      </c>
      <c r="I13" s="16" t="n">
        <v>1248310300</v>
      </c>
    </row>
    <row r="14" ht="20" customHeight="1">
      <c r="B14" s="23" t="inlineStr">
        <is>
          <t>9월</t>
        </is>
      </c>
      <c r="C14" s="20" t="n">
        <v>260616526</v>
      </c>
      <c r="D14" s="19" t="n">
        <v>0.08500000000000001</v>
      </c>
      <c r="E14" s="20" t="n">
        <v>273266654</v>
      </c>
      <c r="F14" s="14" t="inlineStr">
        <is>
          <t>▼ 4.6%</t>
        </is>
      </c>
      <c r="G14" s="22" t="inlineStr">
        <is>
          <t>① 선진FS 123,431,973원 | ② 대상 55,118,118원 | ③ 씨제이 20,286,957원</t>
        </is>
      </c>
      <c r="H14" s="16" t="n">
        <v>1072495991</v>
      </c>
      <c r="I14" s="16" t="n">
        <v>1124554131</v>
      </c>
    </row>
    <row r="15" ht="20" customHeight="1">
      <c r="B15" s="23" t="inlineStr">
        <is>
          <t>10월</t>
        </is>
      </c>
      <c r="C15" s="20" t="n">
        <v>317997154</v>
      </c>
      <c r="D15" s="19" t="n">
        <v>0.104</v>
      </c>
      <c r="E15" s="20" t="n">
        <v>304477280</v>
      </c>
      <c r="F15" s="21" t="inlineStr">
        <is>
          <t>▲ 4.4%</t>
        </is>
      </c>
      <c r="G15" s="22" t="inlineStr">
        <is>
          <t>① 선진FS 158,609,769원 | ② 대상 54,331,035원 | ③ 씨제이 28,935,475원</t>
        </is>
      </c>
      <c r="H15" s="16" t="n">
        <v>1308630263</v>
      </c>
      <c r="I15" s="16" t="n">
        <v>1252992921</v>
      </c>
    </row>
    <row r="16" ht="20" customHeight="1">
      <c r="B16" s="23" t="inlineStr">
        <is>
          <t>11월</t>
        </is>
      </c>
      <c r="C16" s="20" t="n">
        <v>362177970</v>
      </c>
      <c r="D16" s="19" t="n">
        <v>0.118</v>
      </c>
      <c r="E16" s="20" t="n">
        <v>319950203</v>
      </c>
      <c r="F16" s="21" t="inlineStr">
        <is>
          <t>▲ 13.2%</t>
        </is>
      </c>
      <c r="G16" s="22" t="inlineStr">
        <is>
          <t>① 선진FS 179,895,695원 | ② 대상 71,006,415원 | ③ 씨제이 27,766,481원</t>
        </is>
      </c>
      <c r="H16" s="16" t="n">
        <v>1490444320</v>
      </c>
      <c r="I16" s="16" t="n">
        <v>1316667502</v>
      </c>
    </row>
    <row r="17" ht="20" customHeight="1">
      <c r="B17" s="11" t="inlineStr">
        <is>
          <t>12월</t>
        </is>
      </c>
      <c r="C17" s="12" t="n">
        <v>7352287</v>
      </c>
      <c r="D17" s="13" t="n">
        <v>0.002</v>
      </c>
      <c r="E17" s="12" t="n">
        <v>10202506</v>
      </c>
      <c r="F17" s="14" t="inlineStr">
        <is>
          <t>▼ 27.9%</t>
        </is>
      </c>
      <c r="G17" s="15" t="inlineStr">
        <is>
          <t>① 선진FS 2,246,463원 | ② 씨제이 1,191,981원 | ③ 서안이가 1,136,188원</t>
        </is>
      </c>
      <c r="H17" s="16" t="n">
        <v>30256325</v>
      </c>
      <c r="I17" s="16" t="n">
        <v>41985621</v>
      </c>
    </row>
    <row r="18" ht="24" customHeight="1">
      <c r="B18" s="7" t="inlineStr">
        <is>
          <t>연간 합계</t>
        </is>
      </c>
      <c r="C18" s="24" t="n">
        <v>3060269490</v>
      </c>
      <c r="D18" s="25" t="n">
        <v>1</v>
      </c>
      <c r="E18" s="24" t="n">
        <v>2864894392</v>
      </c>
      <c r="F18" s="26" t="inlineStr">
        <is>
          <t>연간 30.60억원  |  전년(2024) 28.65억원  (수도권 FoodnBid 기준)</t>
        </is>
      </c>
      <c r="G18" s="42" t="n"/>
      <c r="H18" s="24" t="n">
        <v>12593701604</v>
      </c>
      <c r="I18" s="24" t="n">
        <v>11789688854</v>
      </c>
    </row>
    <row r="19" ht="14" customHeight="1">
      <c r="B19" s="27" t="inlineStr">
        <is>
          <t>※ 출처: FoodnBid info.foodnbid.com 월별예상금액 (수도권·서울·경기·인천 학교) | 수집일: 2026-06-11</t>
        </is>
      </c>
      <c r="C19" s="41" t="n"/>
      <c r="D19" s="41" t="n"/>
      <c r="E19" s="41" t="n"/>
      <c r="F19" s="41" t="n"/>
      <c r="G19" s="41" t="n"/>
      <c r="H19" s="41" t="n"/>
      <c r="I19" s="42" t="n"/>
    </row>
  </sheetData>
  <mergeCells count="3">
    <mergeCell ref="B1:I1"/>
    <mergeCell ref="B19:I19"/>
    <mergeCell ref="F18:G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2" customWidth="1" min="4" max="4"/>
    <col width="16" customWidth="1" min="5" max="5"/>
    <col width="12" customWidth="1" min="6" max="6"/>
    <col width="32" customWidth="1" min="7" max="7"/>
  </cols>
  <sheetData>
    <row r="1" ht="38" customHeight="1">
      <c r="B1" s="1" t="inlineStr">
        <is>
          <t>【부대찌개】  학교급식 시장 규모 환산  (2025년 vs 2024년 비교)</t>
        </is>
      </c>
      <c r="C1" s="41" t="n"/>
      <c r="D1" s="41" t="n"/>
      <c r="E1" s="41" t="n"/>
      <c r="F1" s="41" t="n"/>
      <c r="G1" s="42" t="n"/>
    </row>
    <row r="2" ht="10" customHeight="1"/>
    <row r="3" ht="30" customHeight="1">
      <c r="B3" s="10" t="inlineStr">
        <is>
          <t>구분</t>
        </is>
      </c>
      <c r="C3" s="10" t="inlineStr">
        <is>
          <t>2025년 수치</t>
        </is>
      </c>
      <c r="D3" s="10" t="inlineStr">
        <is>
          <t>2025년</t>
        </is>
      </c>
      <c r="E3" s="10" t="inlineStr">
        <is>
          <t>2024년 수치</t>
        </is>
      </c>
      <c r="F3" s="10" t="inlineStr">
        <is>
          <t>2024년</t>
        </is>
      </c>
      <c r="G3" s="10" t="inlineStr">
        <is>
          <t>비고</t>
        </is>
      </c>
    </row>
    <row r="4" ht="28" customHeight="1">
      <c r="B4" s="28" t="inlineStr">
        <is>
          <t>전국 급식 전체 (최종 추정)</t>
        </is>
      </c>
      <c r="C4" s="29" t="n">
        <v>15427284464</v>
      </c>
      <c r="D4" s="8" t="inlineStr">
        <is>
          <t>약 154억원</t>
        </is>
      </c>
      <c r="E4" s="30" t="n">
        <v>14442368846</v>
      </c>
      <c r="F4" s="9" t="inlineStr">
        <is>
          <t>약 144억원</t>
        </is>
      </c>
      <c r="G4" s="31" t="n"/>
    </row>
    <row r="5" ht="28" customHeight="1">
      <c r="B5" s="26" t="inlineStr">
        <is>
          <t>전국 학교급식</t>
        </is>
      </c>
      <c r="C5" s="24" t="n">
        <v>12593701604</v>
      </c>
      <c r="D5" s="7" t="inlineStr">
        <is>
          <t>125.9억원</t>
        </is>
      </c>
      <c r="E5" s="30" t="n">
        <v>11789688854</v>
      </c>
      <c r="F5" s="9" t="inlineStr">
        <is>
          <t>117.9억원</t>
        </is>
      </c>
      <c r="G5" s="31" t="n"/>
    </row>
    <row r="6" ht="28" customHeight="1">
      <c r="B6" s="32" t="inlineStr">
        <is>
          <t>수도권 학교급식</t>
        </is>
      </c>
      <c r="C6" s="33" t="n">
        <v>5100449150</v>
      </c>
      <c r="D6" s="6" t="inlineStr">
        <is>
          <t>51.00억원</t>
        </is>
      </c>
      <c r="E6" s="30" t="n">
        <v>4774823986</v>
      </c>
      <c r="F6" s="9" t="inlineStr">
        <is>
          <t>47.75억원</t>
        </is>
      </c>
      <c r="G6" s="31" t="n"/>
    </row>
    <row r="7" ht="28" customHeight="1">
      <c r="B7" s="32" t="inlineStr">
        <is>
          <t>FoodnBid 실측 (수도권)</t>
        </is>
      </c>
      <c r="C7" s="33" t="n">
        <v>3060269490</v>
      </c>
      <c r="D7" s="6" t="inlineStr">
        <is>
          <t>30.60억원</t>
        </is>
      </c>
      <c r="E7" s="30" t="n">
        <v>2864894392</v>
      </c>
      <c r="F7" s="9" t="inlineStr">
        <is>
          <t>28.65억원</t>
        </is>
      </c>
      <c r="G7" s="31" t="n"/>
    </row>
    <row r="9" ht="10" customHeight="1"/>
    <row r="10" ht="32" customHeight="1">
      <c r="B10" s="10" t="inlineStr">
        <is>
          <t>계산 단계</t>
        </is>
      </c>
      <c r="C10" s="10" t="inlineStr">
        <is>
          <t>2025년 수치 (원)</t>
        </is>
      </c>
      <c r="D10" s="10" t="inlineStr">
        <is>
          <t>2025년 억원</t>
        </is>
      </c>
      <c r="E10" s="10" t="inlineStr">
        <is>
          <t>2024년 수치 (원)</t>
        </is>
      </c>
      <c r="F10" s="10" t="inlineStr">
        <is>
          <t>2024년 억원</t>
        </is>
      </c>
      <c r="G10" s="10" t="inlineStr">
        <is>
          <t>산출 근거·가정</t>
        </is>
      </c>
    </row>
    <row r="11" ht="28" customHeight="1">
      <c r="B11" s="34" t="inlineStr">
        <is>
          <t>① 수도권 FoodnBid 연간 실측</t>
        </is>
      </c>
      <c r="C11" s="20" t="n">
        <v>3060269490</v>
      </c>
      <c r="D11" s="7" t="inlineStr">
        <is>
          <t>30.60억원</t>
        </is>
      </c>
      <c r="E11" s="30" t="n">
        <v>2864894392</v>
      </c>
      <c r="F11" s="9" t="inlineStr">
        <is>
          <t>28.65억원</t>
        </is>
      </c>
      <c r="G11" s="35" t="inlineStr">
        <is>
          <t>FoodnBid info.foodnbid.com 실측 (2025년 / 2024년 1~12월)</t>
        </is>
      </c>
    </row>
    <row r="12" ht="28" customHeight="1">
      <c r="B12" s="34" t="inlineStr">
        <is>
          <t>② ÷ FoodnBid 커버리지 60%  →  수도권 학교급식 시장</t>
        </is>
      </c>
      <c r="C12" s="20" t="n">
        <v>5100449150</v>
      </c>
      <c r="D12" s="7" t="inlineStr">
        <is>
          <t>51.00억원</t>
        </is>
      </c>
      <c r="E12" s="30" t="n">
        <v>4774823986</v>
      </c>
      <c r="F12" s="9" t="inlineStr">
        <is>
          <t>47.75억원</t>
        </is>
      </c>
      <c r="G12" s="35" t="inlineStr">
        <is>
          <t>FoodnBid가 수도권 학교급식의 약 60% 커버 (직계약·수의계약 제외)</t>
        </is>
      </c>
    </row>
    <row r="13" ht="28" customHeight="1">
      <c r="B13" s="34" t="inlineStr">
        <is>
          <t>③ ÷ 수도권 학생비율 40.5%  →  전국 학교급식 시장</t>
        </is>
      </c>
      <c r="C13" s="20" t="n">
        <v>12593701604</v>
      </c>
      <c r="D13" s="7" t="inlineStr">
        <is>
          <t>125.9억원</t>
        </is>
      </c>
      <c r="E13" s="30" t="n">
        <v>11789688854</v>
      </c>
      <c r="F13" s="9" t="inlineStr">
        <is>
          <t>117.9억원</t>
        </is>
      </c>
      <c r="G13" s="35" t="inlineStr">
        <is>
          <t>서울+경기 학생 수 / 전국 (교육통계서비스 2024)</t>
        </is>
      </c>
    </row>
    <row r="14" ht="28" customHeight="1">
      <c r="B14" s="34" t="inlineStr">
        <is>
          <t>④ 전국 단체급식 추가 (× 22.5%)</t>
        </is>
      </c>
      <c r="C14" s="20" t="n">
        <v>2833582860</v>
      </c>
      <c r="D14" s="7" t="inlineStr">
        <is>
          <t>28.3억원</t>
        </is>
      </c>
      <c r="E14" s="30" t="n">
        <v>2652679992</v>
      </c>
      <c r="F14" s="9" t="inlineStr">
        <is>
          <t>26.5억원</t>
        </is>
      </c>
      <c r="G14" s="35" t="inlineStr">
        <is>
          <t>군·병원·기업 단체급식, 학교급식 대비 약 22.5%</t>
        </is>
      </c>
    </row>
    <row r="15" ht="28" customHeight="1">
      <c r="B15" s="28" t="inlineStr">
        <is>
          <t>▶ 전국 급식 전체 합계 (최종)</t>
        </is>
      </c>
      <c r="C15" s="29" t="n">
        <v>15427284464</v>
      </c>
      <c r="D15" s="36" t="inlineStr">
        <is>
          <t>약 154억원</t>
        </is>
      </c>
      <c r="E15" s="30" t="n">
        <v>14442368846</v>
      </c>
      <c r="F15" s="9" t="inlineStr">
        <is>
          <t>약 144억원</t>
        </is>
      </c>
      <c r="G15" s="35" t="inlineStr">
        <is>
          <t>전국 학교급식 + 단체급식 합산</t>
        </is>
      </c>
    </row>
    <row r="17" ht="10" customHeight="1"/>
    <row r="18" ht="22" customHeight="1">
      <c r="B18" s="32" t="inlineStr">
        <is>
          <t>환산 방법론 및 주의사항</t>
        </is>
      </c>
      <c r="C18" s="41" t="n"/>
      <c r="D18" s="41" t="n"/>
      <c r="E18" s="41" t="n"/>
      <c r="F18" s="41" t="n"/>
      <c r="G18" s="42" t="n"/>
    </row>
    <row r="19" ht="20" customHeight="1">
      <c r="B19" s="35" t="inlineStr">
        <is>
          <t>• FoodnBid(info.foodnbid.com)는 수도권(서울·경기·인천) 학교급식 조달 플랫폼으로, 전체 수도권 학교급식의 약 60%를 커버합니다.</t>
        </is>
      </c>
      <c r="C19" s="41" t="n"/>
      <c r="D19" s="41" t="n"/>
      <c r="E19" s="41" t="n"/>
      <c r="F19" s="41" t="n"/>
      <c r="G19" s="42" t="n"/>
    </row>
    <row r="20" ht="20" customHeight="1">
      <c r="B20" s="35" t="inlineStr">
        <is>
          <t>• 수도권 학생 비율(40.5%)은 교육통계서비스 2024년 기준 초·중·고 재학생 수를 활용합니다.</t>
        </is>
      </c>
      <c r="C20" s="41" t="n"/>
      <c r="D20" s="41" t="n"/>
      <c r="E20" s="41" t="n"/>
      <c r="F20" s="41" t="n"/>
      <c r="G20" s="42" t="n"/>
    </row>
    <row r="21" ht="20" customHeight="1">
      <c r="B21" s="35" t="inlineStr">
        <is>
          <t>• 단체급식(군·병원·기업) 비중은 학교급식의 약 22.5%로 추정합니다 (업계 통상 기준).</t>
        </is>
      </c>
      <c r="C21" s="41" t="n"/>
      <c r="D21" s="41" t="n"/>
      <c r="E21" s="41" t="n"/>
      <c r="F21" s="41" t="n"/>
      <c r="G21" s="42" t="n"/>
    </row>
    <row r="22" ht="20" customHeight="1">
      <c r="B22" s="35" t="inlineStr">
        <is>
          <t>• 방학월(1·7·12월)은 학교 운영 없어 실측값이 매우 낮습니다 — 정상 데이터입니다.</t>
        </is>
      </c>
      <c r="C22" s="41" t="n"/>
      <c r="D22" s="41" t="n"/>
      <c r="E22" s="41" t="n"/>
      <c r="F22" s="41" t="n"/>
      <c r="G22" s="42" t="n"/>
    </row>
    <row r="23" ht="20" customHeight="1">
      <c r="B23" s="35" t="inlineStr">
        <is>
          <t>• 본 데이터는 2025년 및 2024년 FoodnBid 실측 기준이며, 연도별 편차가 존재할 수 있습니다.</t>
        </is>
      </c>
      <c r="C23" s="41" t="n"/>
      <c r="D23" s="41" t="n"/>
      <c r="E23" s="41" t="n"/>
      <c r="F23" s="41" t="n"/>
      <c r="G23" s="42" t="n"/>
    </row>
    <row r="25" ht="14" customHeight="1">
      <c r="B25" s="27" t="inlineStr">
        <is>
          <t>※ 출처: FoodnBid info.foodnbid.com | 교육통계서비스 kess.kedi.re.kr | 수집일: 2026-06-11</t>
        </is>
      </c>
      <c r="C25" s="41" t="n"/>
      <c r="D25" s="41" t="n"/>
      <c r="E25" s="41" t="n"/>
      <c r="F25" s="41" t="n"/>
      <c r="G25" s="42" t="n"/>
    </row>
  </sheetData>
  <mergeCells count="8">
    <mergeCell ref="B19:G19"/>
    <mergeCell ref="B20:G20"/>
    <mergeCell ref="B22:G22"/>
    <mergeCell ref="B23:G23"/>
    <mergeCell ref="B1:G1"/>
    <mergeCell ref="B18:G18"/>
    <mergeCell ref="B21:G21"/>
    <mergeCell ref="B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8" customHeight="1">
      <c r="B1" s="1" t="inlineStr">
        <is>
          <t>【부대찌개】  경쟁사 월별 낙찰현황  (2025년)</t>
        </is>
      </c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2" t="n"/>
    </row>
    <row r="2" ht="32" customHeight="1">
      <c r="B2" s="10" t="inlineStr">
        <is>
          <t>월</t>
        </is>
      </c>
      <c r="C2" s="37" t="inlineStr">
        <is>
          <t>선진FS
(47.1%)</t>
        </is>
      </c>
      <c r="D2" s="10" t="inlineStr">
        <is>
          <t>대상
(19.2%)</t>
        </is>
      </c>
      <c r="E2" s="10" t="inlineStr">
        <is>
          <t>씨제이
(9.0%)</t>
        </is>
      </c>
      <c r="F2" s="10" t="inlineStr">
        <is>
          <t>목우촌
(6.1%)</t>
        </is>
      </c>
      <c r="G2" s="10" t="inlineStr">
        <is>
          <t>SRC
(3.6%)</t>
        </is>
      </c>
      <c r="H2" s="10" t="inlineStr">
        <is>
          <t>레인보우
(3.5%)</t>
        </is>
      </c>
      <c r="I2" s="10" t="inlineStr">
        <is>
          <t>서안이가
(3.4%)</t>
        </is>
      </c>
      <c r="J2" s="10" t="inlineStr">
        <is>
          <t>아이푸드스쿨
(2.8%)</t>
        </is>
      </c>
      <c r="K2" s="10" t="inlineStr">
        <is>
          <t>한결푸드
(1.6%)</t>
        </is>
      </c>
      <c r="L2" s="10" t="inlineStr">
        <is>
          <t>참조은
(1.5%)</t>
        </is>
      </c>
      <c r="M2" s="7" t="inlineStr">
        <is>
          <t>월 합계</t>
        </is>
      </c>
    </row>
    <row r="3" ht="20" customHeight="1">
      <c r="B3" s="38" t="inlineStr">
        <is>
          <t>1월</t>
        </is>
      </c>
      <c r="C3" s="39" t="n">
        <v>2348778</v>
      </c>
      <c r="D3" s="12" t="n">
        <v>21712</v>
      </c>
      <c r="E3" s="12" t="n">
        <v>135860</v>
      </c>
      <c r="F3" s="12" t="n"/>
      <c r="G3" s="12" t="n"/>
      <c r="H3" s="12" t="n">
        <v>69545</v>
      </c>
      <c r="I3" s="12" t="n">
        <v>158355</v>
      </c>
      <c r="J3" s="12" t="n">
        <v>115000</v>
      </c>
      <c r="K3" s="12" t="n">
        <v>126720</v>
      </c>
      <c r="L3" s="12" t="n"/>
      <c r="M3" s="40" t="n">
        <v>3635680</v>
      </c>
    </row>
    <row r="4" ht="20" customHeight="1">
      <c r="B4" s="23" t="inlineStr">
        <is>
          <t>2월</t>
        </is>
      </c>
      <c r="C4" s="39" t="n">
        <v>179661663</v>
      </c>
      <c r="D4" s="20" t="n">
        <v>75338399</v>
      </c>
      <c r="E4" s="20" t="n">
        <v>34625823</v>
      </c>
      <c r="F4" s="20" t="n">
        <v>24506480</v>
      </c>
      <c r="G4" s="20" t="n">
        <v>15541920</v>
      </c>
      <c r="H4" s="20" t="n">
        <v>12093235</v>
      </c>
      <c r="I4" s="20" t="n">
        <v>18304510</v>
      </c>
      <c r="J4" s="20" t="n">
        <v>8952981</v>
      </c>
      <c r="K4" s="20" t="n">
        <v>8305844</v>
      </c>
      <c r="L4" s="20" t="n">
        <v>6306660</v>
      </c>
      <c r="M4" s="24" t="n">
        <v>390906776</v>
      </c>
    </row>
    <row r="5" ht="20" customHeight="1">
      <c r="B5" s="23" t="inlineStr">
        <is>
          <t>3월</t>
        </is>
      </c>
      <c r="C5" s="39" t="n">
        <v>147433658</v>
      </c>
      <c r="D5" s="20" t="n">
        <v>62896828</v>
      </c>
      <c r="E5" s="20" t="n">
        <v>31633518</v>
      </c>
      <c r="F5" s="20" t="n">
        <v>19021770</v>
      </c>
      <c r="G5" s="20" t="n">
        <v>15598980</v>
      </c>
      <c r="H5" s="20" t="n">
        <v>9882888</v>
      </c>
      <c r="I5" s="20" t="n">
        <v>9641398</v>
      </c>
      <c r="J5" s="20" t="n">
        <v>7659000</v>
      </c>
      <c r="K5" s="20" t="n">
        <v>4552502</v>
      </c>
      <c r="L5" s="20" t="n">
        <v>4310010</v>
      </c>
      <c r="M5" s="24" t="n">
        <v>320969620</v>
      </c>
    </row>
    <row r="6" ht="20" customHeight="1">
      <c r="B6" s="23" t="inlineStr">
        <is>
          <t>4월</t>
        </is>
      </c>
      <c r="C6" s="39" t="n">
        <v>141541247</v>
      </c>
      <c r="D6" s="20" t="n">
        <v>56530093</v>
      </c>
      <c r="E6" s="20" t="n">
        <v>24614105</v>
      </c>
      <c r="F6" s="20" t="n">
        <v>18556456</v>
      </c>
      <c r="G6" s="20" t="n">
        <v>9425520</v>
      </c>
      <c r="H6" s="20" t="n">
        <v>12205407</v>
      </c>
      <c r="I6" s="20" t="n">
        <v>11357780</v>
      </c>
      <c r="J6" s="20" t="n">
        <v>7900500</v>
      </c>
      <c r="K6" s="20" t="n">
        <v>4580568</v>
      </c>
      <c r="L6" s="20" t="n">
        <v>6719760</v>
      </c>
      <c r="M6" s="24" t="n">
        <v>298664667</v>
      </c>
    </row>
    <row r="7" ht="20" customHeight="1">
      <c r="B7" s="23" t="inlineStr">
        <is>
          <t>5월</t>
        </is>
      </c>
      <c r="C7" s="39" t="n">
        <v>141078664</v>
      </c>
      <c r="D7" s="20" t="n">
        <v>66056280</v>
      </c>
      <c r="E7" s="20" t="n">
        <v>33661872</v>
      </c>
      <c r="F7" s="20" t="n">
        <v>19677440</v>
      </c>
      <c r="G7" s="20" t="n">
        <v>14647932</v>
      </c>
      <c r="H7" s="20" t="n">
        <v>10745067</v>
      </c>
      <c r="I7" s="20" t="n">
        <v>10521034</v>
      </c>
      <c r="J7" s="20" t="n">
        <v>9418500</v>
      </c>
      <c r="K7" s="20" t="n">
        <v>5845464</v>
      </c>
      <c r="L7" s="20" t="n">
        <v>7114500</v>
      </c>
      <c r="M7" s="24" t="n">
        <v>323905773</v>
      </c>
    </row>
    <row r="8" ht="20" customHeight="1">
      <c r="B8" s="23" t="inlineStr">
        <is>
          <t>6월</t>
        </is>
      </c>
      <c r="C8" s="39" t="n">
        <v>166843896</v>
      </c>
      <c r="D8" s="20" t="n">
        <v>73681404</v>
      </c>
      <c r="E8" s="20" t="n">
        <v>32155518</v>
      </c>
      <c r="F8" s="20" t="n">
        <v>23845602</v>
      </c>
      <c r="G8" s="20" t="n">
        <v>14738832</v>
      </c>
      <c r="H8" s="20" t="n">
        <v>14224809</v>
      </c>
      <c r="I8" s="20" t="n">
        <v>12860755</v>
      </c>
      <c r="J8" s="20" t="n">
        <v>8777900</v>
      </c>
      <c r="K8" s="20" t="n">
        <v>5665133</v>
      </c>
      <c r="L8" s="20" t="n">
        <v>4437000</v>
      </c>
      <c r="M8" s="24" t="n">
        <v>364455879</v>
      </c>
    </row>
    <row r="9" ht="20" customHeight="1">
      <c r="B9" s="38" t="inlineStr">
        <is>
          <t>7월</t>
        </is>
      </c>
      <c r="C9" s="39" t="n">
        <v>15019049</v>
      </c>
      <c r="D9" s="12" t="n">
        <v>5173331</v>
      </c>
      <c r="E9" s="12" t="n">
        <v>5876898</v>
      </c>
      <c r="F9" s="12" t="n">
        <v>2892584</v>
      </c>
      <c r="G9" s="12" t="n">
        <v>793440</v>
      </c>
      <c r="H9" s="12" t="n">
        <v>518868</v>
      </c>
      <c r="I9" s="12" t="n">
        <v>1890945</v>
      </c>
      <c r="J9" s="12" t="n">
        <v>333500</v>
      </c>
      <c r="K9" s="12" t="n">
        <v>545616</v>
      </c>
      <c r="L9" s="12" t="n">
        <v>2434536</v>
      </c>
      <c r="M9" s="40" t="n">
        <v>36276385</v>
      </c>
    </row>
    <row r="10" ht="20" customHeight="1">
      <c r="B10" s="23" t="inlineStr">
        <is>
          <t>8월</t>
        </is>
      </c>
      <c r="C10" s="39" t="n">
        <v>182558495</v>
      </c>
      <c r="D10" s="20" t="n">
        <v>66810017</v>
      </c>
      <c r="E10" s="20" t="n">
        <v>34124115</v>
      </c>
      <c r="F10" s="20" t="n">
        <v>24358807</v>
      </c>
      <c r="G10" s="20" t="n">
        <v>11684520</v>
      </c>
      <c r="H10" s="20" t="n">
        <v>14587583</v>
      </c>
      <c r="I10" s="20" t="n">
        <v>13705253</v>
      </c>
      <c r="J10" s="20" t="n">
        <v>10375300</v>
      </c>
      <c r="K10" s="20" t="n">
        <v>4199616</v>
      </c>
      <c r="L10" s="20" t="n">
        <v>4559400</v>
      </c>
      <c r="M10" s="24" t="n">
        <v>373310773</v>
      </c>
    </row>
    <row r="11" ht="20" customHeight="1">
      <c r="B11" s="23" t="inlineStr">
        <is>
          <t>9월</t>
        </is>
      </c>
      <c r="C11" s="39" t="n">
        <v>123431973</v>
      </c>
      <c r="D11" s="20" t="n">
        <v>55118118</v>
      </c>
      <c r="E11" s="20" t="n">
        <v>20286957</v>
      </c>
      <c r="F11" s="20" t="n">
        <v>19429440</v>
      </c>
      <c r="G11" s="20" t="n">
        <v>10309905</v>
      </c>
      <c r="H11" s="20" t="n">
        <v>8578980</v>
      </c>
      <c r="I11" s="20" t="n">
        <v>5817859</v>
      </c>
      <c r="J11" s="20" t="n">
        <v>6627815</v>
      </c>
      <c r="K11" s="20" t="n">
        <v>4044611</v>
      </c>
      <c r="L11" s="20" t="n">
        <v>2963304</v>
      </c>
      <c r="M11" s="24" t="n">
        <v>260616526</v>
      </c>
    </row>
    <row r="12" ht="20" customHeight="1">
      <c r="B12" s="23" t="inlineStr">
        <is>
          <t>10월</t>
        </is>
      </c>
      <c r="C12" s="39" t="n">
        <v>158609769</v>
      </c>
      <c r="D12" s="20" t="n">
        <v>54331035</v>
      </c>
      <c r="E12" s="20" t="n">
        <v>28935475</v>
      </c>
      <c r="F12" s="20" t="n">
        <v>18411008</v>
      </c>
      <c r="G12" s="20" t="n">
        <v>9250560</v>
      </c>
      <c r="H12" s="20" t="n">
        <v>10792943</v>
      </c>
      <c r="I12" s="20" t="n">
        <v>9380205</v>
      </c>
      <c r="J12" s="20" t="n">
        <v>10833000</v>
      </c>
      <c r="K12" s="20" t="n">
        <v>5284782</v>
      </c>
      <c r="L12" s="20" t="n">
        <v>3662820</v>
      </c>
      <c r="M12" s="24" t="n">
        <v>317997154</v>
      </c>
    </row>
    <row r="13" ht="20" customHeight="1">
      <c r="B13" s="23" t="inlineStr">
        <is>
          <t>11월</t>
        </is>
      </c>
      <c r="C13" s="39" t="n">
        <v>179895695</v>
      </c>
      <c r="D13" s="20" t="n">
        <v>71006415</v>
      </c>
      <c r="E13" s="20" t="n">
        <v>27766481</v>
      </c>
      <c r="F13" s="20" t="n">
        <v>15948150</v>
      </c>
      <c r="G13" s="20" t="n">
        <v>8893350</v>
      </c>
      <c r="H13" s="20" t="n">
        <v>13443131</v>
      </c>
      <c r="I13" s="20" t="n">
        <v>10574512</v>
      </c>
      <c r="J13" s="20" t="n">
        <v>13190500</v>
      </c>
      <c r="K13" s="20" t="n">
        <v>6381518</v>
      </c>
      <c r="L13" s="20" t="n">
        <v>4677394</v>
      </c>
      <c r="M13" s="24" t="n">
        <v>362177970</v>
      </c>
    </row>
    <row r="14" ht="20" customHeight="1">
      <c r="B14" s="38" t="inlineStr">
        <is>
          <t>12월</t>
        </is>
      </c>
      <c r="C14" s="39" t="n">
        <v>2246463</v>
      </c>
      <c r="D14" s="12" t="n">
        <v>1005965</v>
      </c>
      <c r="E14" s="12" t="n">
        <v>1191981</v>
      </c>
      <c r="F14" s="12" t="n">
        <v>581760</v>
      </c>
      <c r="G14" s="12" t="n"/>
      <c r="H14" s="12" t="n"/>
      <c r="I14" s="12" t="n">
        <v>1136188</v>
      </c>
      <c r="J14" s="12" t="n">
        <v>690000</v>
      </c>
      <c r="K14" s="12" t="n"/>
      <c r="L14" s="12" t="n"/>
      <c r="M14" s="40" t="n">
        <v>7352287</v>
      </c>
    </row>
    <row r="15" ht="26" customHeight="1">
      <c r="B15" s="7" t="inlineStr">
        <is>
          <t>연간 합계</t>
        </is>
      </c>
      <c r="C15" s="24" t="n">
        <v>1440669350</v>
      </c>
      <c r="D15" s="24" t="n">
        <v>587969597</v>
      </c>
      <c r="E15" s="24" t="n">
        <v>275008603</v>
      </c>
      <c r="F15" s="24" t="n">
        <v>187229497</v>
      </c>
      <c r="G15" s="24" t="n">
        <v>110884959</v>
      </c>
      <c r="H15" s="24" t="n">
        <v>107142456</v>
      </c>
      <c r="I15" s="24" t="n">
        <v>105348794</v>
      </c>
      <c r="J15" s="24" t="n">
        <v>84873996</v>
      </c>
      <c r="K15" s="24" t="n">
        <v>49532374</v>
      </c>
      <c r="L15" s="24" t="n">
        <v>47185384</v>
      </c>
      <c r="M15" s="24" t="n">
        <v>3060269490</v>
      </c>
    </row>
    <row r="16" ht="16" customHeight="1">
      <c r="C16" s="2" t="inlineStr">
        <is>
          <t>점유율 47.1%</t>
        </is>
      </c>
      <c r="D16" s="2" t="inlineStr">
        <is>
          <t>점유율 19.2%</t>
        </is>
      </c>
      <c r="E16" s="2" t="inlineStr">
        <is>
          <t>점유율 9.0%</t>
        </is>
      </c>
      <c r="F16" s="2" t="inlineStr">
        <is>
          <t>점유율 6.1%</t>
        </is>
      </c>
      <c r="G16" s="2" t="inlineStr">
        <is>
          <t>점유율 3.6%</t>
        </is>
      </c>
      <c r="H16" s="2" t="inlineStr">
        <is>
          <t>점유율 3.5%</t>
        </is>
      </c>
      <c r="I16" s="2" t="inlineStr">
        <is>
          <t>점유율 3.4%</t>
        </is>
      </c>
      <c r="J16" s="2" t="inlineStr">
        <is>
          <t>점유율 2.8%</t>
        </is>
      </c>
      <c r="K16" s="2" t="inlineStr">
        <is>
          <t>점유율 1.6%</t>
        </is>
      </c>
      <c r="L16" s="2" t="inlineStr">
        <is>
          <t>점유율 1.5%</t>
        </is>
      </c>
    </row>
    <row r="17" ht="14" customHeight="1">
      <c r="B17" s="27" t="inlineStr">
        <is>
          <t>※ 분홍색 셀 = 해당 월 1위 낙찰사  |  출처: FoodnBid info.foodnbid.com  |  수집일: 2026-06-11</t>
        </is>
      </c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2" t="n"/>
    </row>
  </sheetData>
  <mergeCells count="2">
    <mergeCell ref="B17:M17"/>
    <mergeCell ref="B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40" customHeight="1">
      <c r="B1" s="43" t="inlineStr">
        <is>
          <t>【부대찌개】  경쟁사 제품 비교  (2025년 FoodnBid 기준)</t>
        </is>
      </c>
    </row>
    <row r="2" ht="26" customHeight="1">
      <c r="B2" s="44" t="inlineStr">
        <is>
          <t>항목</t>
        </is>
      </c>
      <c r="C2" s="45" t="inlineStr">
        <is>
          <t>FoodnBid 2025 제품 1위</t>
        </is>
      </c>
      <c r="D2" s="46" t="inlineStr">
        <is>
          <t>FoodnBid 2025 제품 2위</t>
        </is>
      </c>
      <c r="E2" s="47" t="inlineStr">
        <is>
          <t>FoodnBid 2025 제품 3위</t>
        </is>
      </c>
      <c r="F2" s="48" t="inlineStr">
        <is>
          <t>FoodnBid 2025 제품 4위</t>
        </is>
      </c>
      <c r="G2" s="49" t="inlineStr">
        <is>
          <t>FoodnBid 2025 제품 5위</t>
        </is>
      </c>
    </row>
    <row r="3" ht="100" customHeight="1">
      <c r="B3" s="50" t="inlineStr">
        <is>
          <t>제품
이미지</t>
        </is>
      </c>
      <c r="C3" s="51" t="inlineStr"/>
      <c r="D3" s="51" t="inlineStr"/>
      <c r="E3" s="51" t="inlineStr"/>
      <c r="F3" s="51" t="inlineStr"/>
      <c r="G3" s="52" t="inlineStr">
        <is>
          <t>[ 이미지 없음 ]</t>
        </is>
      </c>
    </row>
    <row r="4" ht="26" customHeight="1">
      <c r="B4" s="44" t="inlineStr">
        <is>
          <t>업체명</t>
        </is>
      </c>
      <c r="C4" s="45" t="inlineStr">
        <is>
          <t>선진FS</t>
        </is>
      </c>
      <c r="D4" s="46" t="inlineStr">
        <is>
          <t>대상</t>
        </is>
      </c>
      <c r="E4" s="47" t="inlineStr">
        <is>
          <t>선진FS</t>
        </is>
      </c>
      <c r="F4" s="48" t="inlineStr">
        <is>
          <t>대상</t>
        </is>
      </c>
      <c r="G4" s="49" t="inlineStr">
        <is>
          <t>씨제이</t>
        </is>
      </c>
    </row>
    <row r="5" ht="52" customHeight="1">
      <c r="B5" s="50" t="inlineStr">
        <is>
          <t>제품명
(FoodnBid)</t>
        </is>
      </c>
      <c r="C5" s="53" t="inlineStr">
        <is>
          <t>프리미엄부대찌개모듬5종</t>
        </is>
      </c>
      <c r="D5" s="53" t="inlineStr">
        <is>
          <t>청정원 부대찌개가더맛있어지는모듬</t>
        </is>
      </c>
      <c r="E5" s="53" t="inlineStr">
        <is>
          <t>제대로만든부대찌개1400</t>
        </is>
      </c>
      <c r="F5" s="53" t="inlineStr">
        <is>
          <t>청정원 부대찌개모듬햄</t>
        </is>
      </c>
      <c r="G5" s="53" t="inlineStr">
        <is>
          <t>튼튼스쿨 부대찌개모둠햄1kg</t>
        </is>
      </c>
    </row>
    <row r="6" ht="28" customHeight="1">
      <c r="B6" s="50" t="inlineStr">
        <is>
          <t>규격/중량
(블루시스)</t>
        </is>
      </c>
      <c r="C6" s="54" t="inlineStr">
        <is>
          <t>000g</t>
        </is>
      </c>
      <c r="D6" s="54" t="inlineStr">
        <is>
          <t>2kg</t>
        </is>
      </c>
      <c r="E6" s="54" t="inlineStr">
        <is>
          <t>000g</t>
        </is>
      </c>
      <c r="F6" s="54" t="inlineStr">
        <is>
          <t>2kg</t>
        </is>
      </c>
      <c r="G6" s="54" t="inlineStr">
        <is>
          <t>확인 필요</t>
        </is>
      </c>
    </row>
    <row r="7" ht="36" customHeight="1">
      <c r="B7" s="50" t="inlineStr">
        <is>
          <t>FoodnBid
방학제외 월평균</t>
        </is>
      </c>
      <c r="C7" s="55" t="inlineStr">
        <is>
          <t>132,990,466원</t>
        </is>
      </c>
      <c r="D7" s="55" t="inlineStr">
        <is>
          <t>36,039,096원</t>
        </is>
      </c>
      <c r="E7" s="55" t="inlineStr">
        <is>
          <t>24,904,540원</t>
        </is>
      </c>
      <c r="F7" s="55" t="inlineStr">
        <is>
          <t>24,519,753원</t>
        </is>
      </c>
      <c r="G7" s="55" t="inlineStr">
        <is>
          <t>15,719,283원</t>
        </is>
      </c>
    </row>
    <row r="8" ht="80" customHeight="1">
      <c r="B8" s="50" t="inlineStr">
        <is>
          <t>원재료명 TOP5
(블루시스)</t>
        </is>
      </c>
      <c r="C8" s="56" t="inlineStr">
        <is>
          <t>선진포크후랑크햄20%[돼지고기(지방일부사용,국내산,선진포크)91.05%]선진포크미트햄D20%[돼지고기(지방일부사용,국내산,선진포크)91.32%]나다운델리팜20%[돼지고기(지방일부사용,국내산)93.46%]카나디안햄20%[돼지고기(지방일부사용,국내산)81.38%]나다운순살바베큐20%[돼지고기(지방일부사용,국내산)91.75%]※5無첨가(소브산,L-글루탐산나트륨,합성향료,에리토브산나트륨,카라기난)※3無첨가(소브산,L-글루탐산나트륨,에리토브산나트륨)※4無첨가(소브산,합성향료,에리토브산나트륨,카라기난)※4無첨가(소브산,아질산나트륨,합성향료,에리토브산나트륨)※3無첨가(소브산,합성향료,에리토브산나트륨)</t>
        </is>
      </c>
      <c r="D8" s="56" t="inlineStr">
        <is>
          <t>정제수, 마늘(중국산), 핫소스[화이트식초, 페퍼소스(태국산), 기타과당</t>
        </is>
      </c>
      <c r="E8" s="56" t="inlineStr">
        <is>
          <t>선진포크후랑크햄20%[돼지고기(지방일부사용,국내산,선진포크)91.05%]선진포크미트햄D20%[돼지고기(지방일부사용,국내산,선진포크)91.32%]나다운델리팜20%[돼지고기(지방일부사용,국내산)93.46%]카나디안햄20%[돼지고기(지방일부사용,국내산)81.38%]나다운순살바베큐20%[돼지고기(지방일부사용,국내산)91.75%]※5無첨가(소브산,L-글루탐산나트륨,합성향료,에리토브산나트륨,카라기난)※3無첨가(소브산,L-글루탐산나트륨,에리토브산나트륨)※4無첨가(소브산,합성향료,에리토브산나트륨,카라기난)※4無첨가(소브산,아질산나트륨,합성향료,에리토브산나트륨)※3無첨가(소브산,합성향료,에리토브산나트륨)</t>
        </is>
      </c>
      <c r="F8" s="56" t="inlineStr">
        <is>
          <t>정제수, 마늘(중국산), 핫소스[화이트식초, 페퍼소스(태국산), 기타과당</t>
        </is>
      </c>
      <c r="G8" s="56" t="inlineStr">
        <is>
          <t>직접 확인</t>
        </is>
      </c>
    </row>
    <row r="9" ht="36" customHeight="1">
      <c r="B9" s="50" t="inlineStr">
        <is>
          <t>블루시스
학교kg단가</t>
        </is>
      </c>
      <c r="C9" s="57" t="inlineStr">
        <is>
          <t>18,070원/kg</t>
        </is>
      </c>
      <c r="D9" s="57" t="inlineStr">
        <is>
          <t>6,245원/kg</t>
        </is>
      </c>
      <c r="E9" s="57" t="inlineStr">
        <is>
          <t>18,070원/kg</t>
        </is>
      </c>
      <c r="F9" s="57" t="inlineStr">
        <is>
          <t>6,245원/kg</t>
        </is>
      </c>
      <c r="G9" s="57" t="inlineStr">
        <is>
          <t>블루시스 미등록</t>
        </is>
      </c>
    </row>
    <row r="10" ht="36" customHeight="1">
      <c r="B10" s="50" t="inlineStr">
        <is>
          <t>특이사항</t>
        </is>
      </c>
      <c r="C10" s="58" t="inlineStr"/>
      <c r="D10" s="58" t="inlineStr"/>
      <c r="E10" s="58" t="inlineStr"/>
      <c r="F10" s="58" t="inlineStr"/>
      <c r="G10" s="58" t="inlineStr"/>
    </row>
    <row r="11" ht="20" customHeight="1">
      <c r="B11" s="59" t="inlineStr">
        <is>
          <t>※ 출처: FoodnBid info.foodnbid.com  |  방학제외 = 1·7·12월 제외  |  블루시스(market.bluesis.com): 규격·원재료·kg단가 자동 수집  |  수집일: 2026-06-11</t>
        </is>
      </c>
    </row>
  </sheetData>
  <mergeCells count="2">
    <mergeCell ref="B11:G11"/>
    <mergeCell ref="B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2026-06-11T06:15:10Z</dcterms:created>
  <dcterms:modified xmlns:dcterms="http://purl.org/dc/terms/" xmlns:xsi="http://www.w3.org/2001/XMLSchema-instance" xsi:type="dcterms:W3CDTF">2026-06-11T06:16:45Z</dcterms:modified>
</cp:coreProperties>
</file>