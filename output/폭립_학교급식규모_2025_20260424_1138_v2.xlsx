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학교급식_월별실측" sheetId="1" state="visible" r:id="rId1"/>
    <sheet name="시장규모_환산" sheetId="2" state="visible" r:id="rId2"/>
    <sheet name="경쟁사_월별현황" sheetId="3" state="visible" r:id="rId3"/>
    <sheet name="경쟁사_제품정보" sheetId="4" state="visible" r:id="rId4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22">
    <font>
      <name val="맑은 고딕"/>
      <family val="2"/>
      <color theme="1"/>
      <sz val="11"/>
      <scheme val="minor"/>
    </font>
    <font>
      <name val="맑은 고딕"/>
      <charset val="129"/>
      <family val="3"/>
      <b val="1"/>
      <color rgb="FFFFFFFF"/>
      <sz val="13"/>
    </font>
    <font>
      <name val="맑은 고딕"/>
      <charset val="129"/>
      <family val="3"/>
      <sz val="9"/>
    </font>
    <font>
      <name val="맑은 고딕"/>
      <charset val="129"/>
      <family val="3"/>
      <b val="1"/>
      <color rgb="FF1F4E79"/>
      <sz val="10"/>
    </font>
    <font>
      <name val="맑은 고딕"/>
      <charset val="129"/>
      <family val="3"/>
      <b val="1"/>
      <color rgb="FF375623"/>
      <sz val="10"/>
    </font>
    <font>
      <name val="맑은 고딕"/>
      <charset val="129"/>
      <family val="3"/>
      <b val="1"/>
      <sz val="10"/>
    </font>
    <font>
      <name val="맑은 고딕"/>
      <charset val="129"/>
      <family val="3"/>
      <sz val="10"/>
    </font>
    <font>
      <name val="맑은 고딕"/>
      <charset val="129"/>
      <family val="3"/>
      <b val="1"/>
      <color rgb="FFFFFFFF"/>
      <sz val="10"/>
    </font>
    <font>
      <name val="맑은 고딕"/>
      <charset val="129"/>
      <family val="3"/>
      <i val="1"/>
      <color rgb="FF666666"/>
      <sz val="8"/>
    </font>
    <font>
      <name val="맑은 고딕"/>
      <charset val="129"/>
      <family val="3"/>
      <i val="1"/>
      <color rgb="FFBBBBBB"/>
      <sz val="9"/>
    </font>
    <font>
      <name val="맑은 고딕"/>
      <charset val="129"/>
      <family val="3"/>
      <b val="1"/>
      <color rgb="FFC00000"/>
      <sz val="10"/>
    </font>
    <font>
      <name val="맑은 고딕"/>
      <charset val="129"/>
      <family val="3"/>
      <i val="1"/>
      <color rgb="FF888888"/>
      <sz val="8"/>
    </font>
    <font>
      <name val="맑은 고딕"/>
      <charset val="129"/>
      <family val="3"/>
      <sz val="8"/>
      <scheme val="minor"/>
    </font>
    <font>
      <name val="맑은 고딕"/>
      <b val="1"/>
      <color rgb="00FFFFFF"/>
      <sz val="13"/>
    </font>
    <font>
      <name val="맑은 고딕"/>
      <b val="1"/>
      <color rgb="00FFFFFF"/>
      <sz val="10"/>
    </font>
    <font>
      <name val="맑은 고딕"/>
      <b val="1"/>
      <color rgb="001F4E79"/>
      <sz val="10"/>
    </font>
    <font>
      <name val="맑은 고딕"/>
      <i val="1"/>
      <color rgb="00BBBBBB"/>
      <sz val="9"/>
    </font>
    <font>
      <name val="맑은 고딕"/>
      <b val="1"/>
      <sz val="10"/>
    </font>
    <font>
      <name val="맑은 고딕"/>
      <sz val="10"/>
    </font>
    <font>
      <name val="맑은 고딕"/>
      <sz val="9"/>
    </font>
    <font>
      <name val="맑은 고딕"/>
      <b val="1"/>
      <color rgb="00C00000"/>
      <sz val="10"/>
    </font>
    <font>
      <name val="맑은 고딕"/>
      <i val="1"/>
      <color rgb="00888888"/>
      <sz val="8"/>
    </font>
  </fonts>
  <fills count="36">
    <fill>
      <patternFill/>
    </fill>
    <fill>
      <patternFill patternType="gray125"/>
    </fill>
    <fill>
      <patternFill patternType="solid">
        <fgColor rgb="FF2E5F8E"/>
      </patternFill>
    </fill>
    <fill>
      <patternFill patternType="solid">
        <fgColor rgb="FFD6E4F0"/>
      </patternFill>
    </fill>
    <fill>
      <patternFill patternType="solid">
        <fgColor rgb="FFEBF5E1"/>
      </patternFill>
    </fill>
    <fill>
      <patternFill patternType="solid">
        <fgColor rgb="FFFFF2CC"/>
      </patternFill>
    </fill>
    <fill>
      <patternFill patternType="solid">
        <fgColor rgb="FFF2F2F2"/>
      </patternFill>
    </fill>
    <fill>
      <patternFill patternType="solid">
        <fgColor rgb="FFE8F0FE"/>
      </patternFill>
    </fill>
    <fill>
      <patternFill patternType="solid">
        <fgColor rgb="FFFFE8E8"/>
      </patternFill>
    </fill>
    <fill>
      <patternFill patternType="solid">
        <fgColor rgb="FFE8FFE8"/>
      </patternFill>
    </fill>
    <fill>
      <patternFill patternType="solid">
        <fgColor rgb="FFFCE4EC"/>
      </patternFill>
    </fill>
    <fill>
      <patternFill patternType="solid">
        <fgColor rgb="FF1F4E79"/>
      </patternFill>
    </fill>
    <fill>
      <patternFill patternType="solid">
        <fgColor rgb="FFFF6B35"/>
      </patternFill>
    </fill>
    <fill>
      <patternFill patternType="solid">
        <fgColor rgb="FFFF9500"/>
      </patternFill>
    </fill>
    <fill>
      <patternFill patternType="solid">
        <fgColor rgb="FF4CAF50"/>
      </patternFill>
    </fill>
    <fill>
      <patternFill patternType="solid">
        <fgColor rgb="FF2196F3"/>
      </patternFill>
    </fill>
    <fill>
      <patternFill patternType="solid">
        <fgColor rgb="FF9C27B0"/>
      </patternFill>
    </fill>
    <fill>
      <patternFill patternType="solid">
        <fgColor rgb="FFF0F0F0"/>
      </patternFill>
    </fill>
    <fill>
      <patternFill patternType="solid">
        <fgColor rgb="FFF9F9F9"/>
      </patternFill>
    </fill>
    <fill>
      <patternFill patternType="solid">
        <fgColor rgb="FFE8F5E9"/>
      </patternFill>
    </fill>
    <fill>
      <patternFill patternType="solid">
        <fgColor rgb="FFFFFDE7"/>
      </patternFill>
    </fill>
    <fill>
      <patternFill patternType="solid">
        <fgColor rgb="FFFFF3E0"/>
      </patternFill>
    </fill>
    <fill>
      <patternFill patternType="solid">
        <fgColor rgb="FFFFE0E0"/>
      </patternFill>
    </fill>
    <fill>
      <patternFill patternType="solid">
        <fgColor rgb="001F4E79"/>
      </patternFill>
    </fill>
    <fill>
      <patternFill patternType="solid">
        <fgColor rgb="00FF6B35"/>
      </patternFill>
    </fill>
    <fill>
      <patternFill patternType="solid">
        <fgColor rgb="00FF9500"/>
      </patternFill>
    </fill>
    <fill>
      <patternFill patternType="solid">
        <fgColor rgb="004CAF50"/>
      </patternFill>
    </fill>
    <fill>
      <patternFill patternType="solid">
        <fgColor rgb="002196F3"/>
      </patternFill>
    </fill>
    <fill>
      <patternFill patternType="solid">
        <fgColor rgb="009C27B0"/>
      </patternFill>
    </fill>
    <fill>
      <patternFill patternType="solid">
        <fgColor rgb="00F0F0F0"/>
      </patternFill>
    </fill>
    <fill>
      <patternFill patternType="solid">
        <fgColor rgb="00F9F9F9"/>
      </patternFill>
    </fill>
    <fill>
      <patternFill patternType="solid">
        <fgColor rgb="00E8F5E9"/>
      </patternFill>
    </fill>
    <fill>
      <patternFill patternType="solid">
        <fgColor rgb="00FFFDE7"/>
      </patternFill>
    </fill>
    <fill>
      <patternFill patternType="solid">
        <fgColor rgb="00FFF3E0"/>
      </patternFill>
    </fill>
    <fill>
      <patternFill patternType="solid">
        <fgColor rgb="00D6E4F0"/>
      </patternFill>
    </fill>
    <fill>
      <patternFill patternType="solid">
        <fgColor rgb="00FFE0E0"/>
      </patternFill>
    </fill>
  </fills>
  <borders count="16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BFBFBF"/>
      </top>
      <bottom/>
      <diagonal/>
    </border>
    <border>
      <left/>
      <right style="thin">
        <color rgb="FFBFBFBF"/>
      </right>
      <top style="thin">
        <color rgb="FFBFBFBF"/>
      </top>
      <bottom/>
      <diagonal/>
    </border>
    <border>
      <left/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/>
      <right/>
      <top style="thin">
        <color rgb="00CCCCCC"/>
      </top>
      <bottom/>
      <diagonal/>
    </border>
    <border>
      <left/>
      <right style="thin">
        <color rgb="00CCCCCC"/>
      </right>
      <top style="thin">
        <color rgb="00CCCCCC"/>
      </top>
      <bottom/>
      <diagonal/>
    </border>
    <border>
      <left/>
      <right/>
      <top style="thin">
        <color rgb="00CCCCCC"/>
      </top>
      <bottom style="thin">
        <color rgb="00CCCCCC"/>
      </bottom>
      <diagonal/>
    </border>
    <border>
      <left/>
      <right style="thin">
        <color rgb="00CCCCCC"/>
      </right>
      <top style="thin">
        <color rgb="00CCCCCC"/>
      </top>
      <bottom style="thin">
        <color rgb="00CCCCCC"/>
      </bottom>
      <diagonal/>
    </border>
  </borders>
  <cellStyleXfs count="1">
    <xf numFmtId="0" fontId="0" fillId="0" borderId="0"/>
  </cellStyleXfs>
  <cellXfs count="84">
    <xf numFmtId="0" fontId="0" fillId="0" borderId="0" pivotButton="0" quotePrefix="0" xfId="0"/>
    <xf numFmtId="0" fontId="2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center" vertical="center" wrapText="1"/>
    </xf>
    <xf numFmtId="0" fontId="7" fillId="2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center" vertical="center" wrapText="1"/>
    </xf>
    <xf numFmtId="3" fontId="6" fillId="7" borderId="1" applyAlignment="1" pivotButton="0" quotePrefix="0" xfId="0">
      <alignment horizontal="right" vertical="center"/>
    </xf>
    <xf numFmtId="164" fontId="6" fillId="7" borderId="1" applyAlignment="1" pivotButton="0" quotePrefix="0" xfId="0">
      <alignment horizontal="center" vertical="center" wrapText="1"/>
    </xf>
    <xf numFmtId="0" fontId="2" fillId="8" borderId="1" applyAlignment="1" pivotButton="0" quotePrefix="0" xfId="0">
      <alignment horizontal="center" vertical="center" wrapText="1"/>
    </xf>
    <xf numFmtId="0" fontId="2" fillId="7" borderId="1" applyAlignment="1" pivotButton="0" quotePrefix="0" xfId="0">
      <alignment horizontal="left" vertical="center" wrapText="1"/>
    </xf>
    <xf numFmtId="3" fontId="2" fillId="6" borderId="1" applyAlignment="1" pivotButton="0" quotePrefix="0" xfId="0">
      <alignment horizontal="right" vertical="center"/>
    </xf>
    <xf numFmtId="0" fontId="6" fillId="0" borderId="1" applyAlignment="1" pivotButton="0" quotePrefix="0" xfId="0">
      <alignment horizontal="center" vertical="center" wrapText="1"/>
    </xf>
    <xf numFmtId="3" fontId="6" fillId="0" borderId="1" applyAlignment="1" pivotButton="0" quotePrefix="0" xfId="0">
      <alignment horizontal="right" vertical="center"/>
    </xf>
    <xf numFmtId="164" fontId="6" fillId="0" borderId="1" applyAlignment="1" pivotButton="0" quotePrefix="0" xfId="0">
      <alignment horizontal="center" vertical="center" wrapText="1"/>
    </xf>
    <xf numFmtId="0" fontId="2" fillId="9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3" fontId="5" fillId="0" borderId="1" applyAlignment="1" pivotButton="0" quotePrefix="0" xfId="0">
      <alignment horizontal="right" vertical="center"/>
    </xf>
    <xf numFmtId="3" fontId="4" fillId="4" borderId="1" applyAlignment="1" pivotButton="0" quotePrefix="0" xfId="0">
      <alignment horizontal="right" vertical="center"/>
    </xf>
    <xf numFmtId="164" fontId="4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left" vertical="center" wrapText="1"/>
    </xf>
    <xf numFmtId="3" fontId="5" fillId="5" borderId="1" applyAlignment="1" pivotButton="0" quotePrefix="0" xfId="0">
      <alignment horizontal="right" vertical="center"/>
    </xf>
    <xf numFmtId="3" fontId="6" fillId="6" borderId="1" applyAlignment="1" pivotButton="0" quotePrefix="0" xfId="0">
      <alignment horizontal="right" vertical="center"/>
    </xf>
    <xf numFmtId="0" fontId="0" fillId="0" borderId="1" pivotButton="0" quotePrefix="0" xfId="0"/>
    <xf numFmtId="0" fontId="3" fillId="3" borderId="1" applyAlignment="1" pivotButton="0" quotePrefix="0" xfId="0">
      <alignment horizontal="left" vertical="center" wrapText="1"/>
    </xf>
    <xf numFmtId="3" fontId="3" fillId="3" borderId="1" applyAlignment="1" pivotButton="0" quotePrefix="0" xfId="0">
      <alignment horizontal="right" vertical="center"/>
    </xf>
    <xf numFmtId="0" fontId="6" fillId="0" borderId="1" applyAlignment="1" pivotButton="0" quotePrefix="0" xfId="0">
      <alignment horizontal="left" vertical="center" wrapText="1"/>
    </xf>
    <xf numFmtId="0" fontId="2" fillId="6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center" vertical="center" wrapText="1"/>
    </xf>
    <xf numFmtId="0" fontId="7" fillId="10" borderId="1" applyAlignment="1" pivotButton="0" quotePrefix="0" xfId="0">
      <alignment horizontal="center" vertical="center" wrapText="1"/>
    </xf>
    <xf numFmtId="3" fontId="5" fillId="10" borderId="1" applyAlignment="1" pivotButton="0" quotePrefix="0" xfId="0">
      <alignment horizontal="right" vertical="center"/>
    </xf>
    <xf numFmtId="3" fontId="4" fillId="7" borderId="1" applyAlignment="1" pivotButton="0" quotePrefix="0" xfId="0">
      <alignment horizontal="right" vertical="center"/>
    </xf>
    <xf numFmtId="0" fontId="7" fillId="11" borderId="4" applyAlignment="1" pivotButton="0" quotePrefix="0" xfId="0">
      <alignment horizontal="center" vertical="center" wrapText="1"/>
    </xf>
    <xf numFmtId="0" fontId="7" fillId="12" borderId="4" applyAlignment="1" pivotButton="0" quotePrefix="0" xfId="0">
      <alignment horizontal="center" vertical="center" wrapText="1"/>
    </xf>
    <xf numFmtId="0" fontId="7" fillId="13" borderId="4" applyAlignment="1" pivotButton="0" quotePrefix="0" xfId="0">
      <alignment horizontal="center" vertical="center" wrapText="1"/>
    </xf>
    <xf numFmtId="0" fontId="7" fillId="14" borderId="4" applyAlignment="1" pivotButton="0" quotePrefix="0" xfId="0">
      <alignment horizontal="center" vertical="center" wrapText="1"/>
    </xf>
    <xf numFmtId="0" fontId="7" fillId="15" borderId="4" applyAlignment="1" pivotButton="0" quotePrefix="0" xfId="0">
      <alignment horizontal="center" vertical="center" wrapText="1"/>
    </xf>
    <xf numFmtId="0" fontId="7" fillId="16" borderId="4" applyAlignment="1" pivotButton="0" quotePrefix="0" xfId="0">
      <alignment horizontal="center" vertical="center" wrapText="1"/>
    </xf>
    <xf numFmtId="0" fontId="3" fillId="17" borderId="4" applyAlignment="1" pivotButton="0" quotePrefix="0" xfId="0">
      <alignment horizontal="center" vertical="center" wrapText="1"/>
    </xf>
    <xf numFmtId="0" fontId="9" fillId="18" borderId="4" applyAlignment="1" pivotButton="0" quotePrefix="0" xfId="0">
      <alignment horizontal="center" vertical="center" wrapText="1"/>
    </xf>
    <xf numFmtId="0" fontId="5" fillId="0" borderId="4" applyAlignment="1" pivotButton="0" quotePrefix="0" xfId="0">
      <alignment horizontal="center" vertical="center" wrapText="1"/>
    </xf>
    <xf numFmtId="0" fontId="6" fillId="17" borderId="4" applyAlignment="1" pivotButton="0" quotePrefix="0" xfId="0">
      <alignment horizontal="center" vertical="center" wrapText="1"/>
    </xf>
    <xf numFmtId="0" fontId="5" fillId="19" borderId="4" applyAlignment="1" pivotButton="0" quotePrefix="0" xfId="0">
      <alignment horizontal="right" vertical="center" wrapText="1"/>
    </xf>
    <xf numFmtId="0" fontId="6" fillId="20" borderId="4" applyAlignment="1" pivotButton="0" quotePrefix="0" xfId="0">
      <alignment horizontal="left" vertical="center" wrapText="1"/>
    </xf>
    <xf numFmtId="0" fontId="6" fillId="0" borderId="4" applyAlignment="1" pivotButton="0" quotePrefix="0" xfId="0">
      <alignment horizontal="center" vertical="center" wrapText="1"/>
    </xf>
    <xf numFmtId="0" fontId="10" fillId="22" borderId="4" applyAlignment="1" pivotButton="0" quotePrefix="0" xfId="0">
      <alignment horizontal="center" vertical="center" wrapText="1"/>
    </xf>
    <xf numFmtId="0" fontId="2" fillId="21" borderId="4" applyAlignment="1" pivotButton="0" quotePrefix="0" xfId="0">
      <alignment horizontal="center" vertical="center" wrapText="1"/>
    </xf>
    <xf numFmtId="0" fontId="2" fillId="3" borderId="4" applyAlignment="1" pivotButton="0" quotePrefix="0" xfId="0">
      <alignment horizontal="left" vertical="center" wrapText="1"/>
    </xf>
    <xf numFmtId="0" fontId="1" fillId="2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3" pivotButton="0" quotePrefix="0" xfId="0"/>
    <xf numFmtId="0" fontId="8" fillId="6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left" vertical="center" wrapText="1"/>
    </xf>
    <xf numFmtId="0" fontId="2" fillId="6" borderId="1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left" vertical="center" wrapText="1"/>
    </xf>
    <xf numFmtId="0" fontId="11" fillId="0" borderId="0" applyAlignment="1" pivotButton="0" quotePrefix="0" xfId="0">
      <alignment horizontal="left" vertical="center" wrapText="1"/>
    </xf>
    <xf numFmtId="0" fontId="0" fillId="0" borderId="0" pivotButton="0" quotePrefix="0" xfId="0"/>
    <xf numFmtId="0" fontId="1" fillId="11" borderId="4" applyAlignment="1" pivotButton="0" quotePrefix="0" xfId="0">
      <alignment horizontal="center" vertical="center" wrapText="1"/>
    </xf>
    <xf numFmtId="164" fontId="6" fillId="7" borderId="1" applyAlignment="1" pivotButton="0" quotePrefix="0" xfId="0">
      <alignment horizontal="center" vertical="center" wrapText="1"/>
    </xf>
    <xf numFmtId="164" fontId="6" fillId="0" borderId="1" applyAlignment="1" pivotButton="0" quotePrefix="0" xfId="0">
      <alignment horizontal="center" vertical="center" wrapText="1"/>
    </xf>
    <xf numFmtId="164" fontId="4" fillId="4" borderId="1" applyAlignment="1" pivotButton="0" quotePrefix="0" xfId="0">
      <alignment horizontal="center" vertical="center" wrapText="1"/>
    </xf>
    <xf numFmtId="0" fontId="13" fillId="23" borderId="11" applyAlignment="1" pivotButton="0" quotePrefix="0" xfId="0">
      <alignment horizontal="center" vertical="center" wrapText="1"/>
    </xf>
    <xf numFmtId="0" fontId="14" fillId="23" borderId="11" applyAlignment="1" pivotButton="0" quotePrefix="0" xfId="0">
      <alignment horizontal="center" vertical="center" wrapText="1"/>
    </xf>
    <xf numFmtId="0" fontId="14" fillId="24" borderId="11" applyAlignment="1" pivotButton="0" quotePrefix="0" xfId="0">
      <alignment horizontal="center" vertical="center" wrapText="1"/>
    </xf>
    <xf numFmtId="0" fontId="14" fillId="25" borderId="11" applyAlignment="1" pivotButton="0" quotePrefix="0" xfId="0">
      <alignment horizontal="center" vertical="center" wrapText="1"/>
    </xf>
    <xf numFmtId="0" fontId="14" fillId="26" borderId="11" applyAlignment="1" pivotButton="0" quotePrefix="0" xfId="0">
      <alignment horizontal="center" vertical="center" wrapText="1"/>
    </xf>
    <xf numFmtId="0" fontId="14" fillId="27" borderId="11" applyAlignment="1" pivotButton="0" quotePrefix="0" xfId="0">
      <alignment horizontal="center" vertical="center" wrapText="1"/>
    </xf>
    <xf numFmtId="0" fontId="14" fillId="28" borderId="11" applyAlignment="1" pivotButton="0" quotePrefix="0" xfId="0">
      <alignment horizontal="center" vertical="center" wrapText="1"/>
    </xf>
    <xf numFmtId="0" fontId="15" fillId="29" borderId="11" applyAlignment="1" pivotButton="0" quotePrefix="0" xfId="0">
      <alignment horizontal="center" vertical="center" wrapText="1"/>
    </xf>
    <xf numFmtId="0" fontId="16" fillId="30" borderId="11" applyAlignment="1" pivotButton="0" quotePrefix="0" xfId="0">
      <alignment horizontal="center" vertical="center" wrapText="1"/>
    </xf>
    <xf numFmtId="0" fontId="17" fillId="0" borderId="11" applyAlignment="1" pivotButton="0" quotePrefix="0" xfId="0">
      <alignment horizontal="center" vertical="center" wrapText="1"/>
    </xf>
    <xf numFmtId="0" fontId="18" fillId="29" borderId="11" applyAlignment="1" pivotButton="0" quotePrefix="0" xfId="0">
      <alignment horizontal="center" vertical="center" wrapText="1"/>
    </xf>
    <xf numFmtId="0" fontId="17" fillId="31" borderId="11" applyAlignment="1" pivotButton="0" quotePrefix="0" xfId="0">
      <alignment horizontal="right" vertical="center" wrapText="1"/>
    </xf>
    <xf numFmtId="0" fontId="19" fillId="32" borderId="11" applyAlignment="1" pivotButton="0" quotePrefix="0" xfId="0">
      <alignment horizontal="left" vertical="center" wrapText="1"/>
    </xf>
    <xf numFmtId="0" fontId="18" fillId="0" borderId="11" applyAlignment="1" pivotButton="0" quotePrefix="0" xfId="0">
      <alignment horizontal="center" vertical="center" wrapText="1"/>
    </xf>
    <xf numFmtId="0" fontId="20" fillId="35" borderId="11" applyAlignment="1" pivotButton="0" quotePrefix="0" xfId="0">
      <alignment horizontal="center" vertical="center" wrapText="1"/>
    </xf>
    <xf numFmtId="0" fontId="19" fillId="33" borderId="11" applyAlignment="1" pivotButton="0" quotePrefix="0" xfId="0">
      <alignment horizontal="center" vertical="center" wrapText="1"/>
    </xf>
    <xf numFmtId="0" fontId="19" fillId="34" borderId="11" applyAlignment="1" pivotButton="0" quotePrefix="0" xfId="0">
      <alignment horizontal="left" vertical="center" wrapText="1"/>
    </xf>
    <xf numFmtId="0" fontId="21" fillId="0" borderId="0" applyAlignment="1" pivotButton="0" quotePrefix="0" xfId="0">
      <alignment horizontal="left" vertical="center" wrapText="1"/>
    </xf>
  </cellXfs>
  <cellStyles count="1">
    <cellStyle name="표준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lstStyle/>
          <a:p>
            <a:pPr>
              <a:defRPr/>
            </a:pPr>
            <a:r>
              <a:rPr lang="ko-KR" altLang="en-US"/>
              <a:t xml:space="preserve">폭립  월별 전국 학교급식 시장규모 환산  </a:t>
            </a:r>
            <a:r>
              <a:rPr lang="en-US" altLang="ko-KR"/>
              <a:t xml:space="preserve">(2025 </a:t>
            </a:r>
            <a:r>
              <a:rPr lang="en-US"/>
              <a:t>vs 2024)</a:t>
            </a:r>
          </a:p>
        </rich>
      </tx>
      <overlay val="1"/>
    </title>
    <plotArea>
      <layout/>
      <lineChart>
        <grouping val="standard"/>
        <varyColors val="1"/>
        <ser>
          <idx val="0"/>
          <order val="0"/>
          <tx>
            <strRef>
              <f>학교급식_월별실측!$H$5</f>
              <strCache>
                <ptCount val="1"/>
                <pt idx="0">
                  <v>2025 전국학교급식 환산</v>
                </pt>
              </strCache>
            </strRef>
          </tx>
          <spPr>
            <a:ln w="28800">
              <a:solidFill>
                <a:srgbClr val="1F4E79"/>
              </a:solidFill>
              <a:prstDash val="solid"/>
            </a:ln>
          </spPr>
          <marker>
            <symbol val="circle"/>
            <size val="7"/>
            <spPr>
              <a:solidFill>
                <a:srgbClr val="1F4E79"/>
              </a:solidFill>
              <a:ln>
                <a:prstDash val="solid"/>
              </a:ln>
            </spPr>
          </marker>
          <cat>
            <strRef>
              <f>학교급식_월별실측!$B$6:$B$17</f>
              <strCache>
                <ptCount val="12"/>
                <pt idx="0">
                  <v>1월 ★</v>
                </pt>
                <pt idx="1">
                  <v>2월</v>
                </pt>
                <pt idx="2">
                  <v>3월</v>
                </pt>
                <pt idx="3">
                  <v>4월</v>
                </pt>
                <pt idx="4">
                  <v>5월</v>
                </pt>
                <pt idx="5">
                  <v>6월</v>
                </pt>
                <pt idx="6">
                  <v>7월 ★</v>
                </pt>
                <pt idx="7">
                  <v>8월</v>
                </pt>
                <pt idx="8">
                  <v>9월</v>
                </pt>
                <pt idx="9">
                  <v>10월</v>
                </pt>
                <pt idx="10">
                  <v>11월</v>
                </pt>
                <pt idx="11">
                  <v>12월 ★</v>
                </pt>
              </strCache>
            </strRef>
          </cat>
          <val>
            <numRef>
              <f>학교급식_월별실측!$H$6:$H$17</f>
              <numCache>
                <formatCode>#,##0</formatCode>
                <ptCount val="12"/>
                <pt idx="0">
                  <v>16067790</v>
                </pt>
                <pt idx="1">
                  <v>521739016</v>
                </pt>
                <pt idx="2">
                  <v>662292695</v>
                </pt>
                <pt idx="3">
                  <v>762705493</v>
                </pt>
                <pt idx="4">
                  <v>582044794</v>
                </pt>
                <pt idx="5">
                  <v>999508222</v>
                </pt>
                <pt idx="6">
                  <v>70616304</v>
                </pt>
                <pt idx="7">
                  <v>963305744</v>
                </pt>
                <pt idx="8">
                  <v>1080149901</v>
                </pt>
                <pt idx="9">
                  <v>1425429662</v>
                </pt>
                <pt idx="10">
                  <v>3495579736</v>
                </pt>
                <pt idx="11">
                  <v>45630794</v>
                </pt>
              </numCache>
            </numRef>
          </val>
          <smooth val="0"/>
        </ser>
        <ser>
          <idx val="1"/>
          <order val="1"/>
          <tx>
            <strRef>
              <f>학교급식_월별실측!$I$5</f>
              <strCache>
                <ptCount val="1"/>
                <pt idx="0">
                  <v>2024 전국학교급식 환산</v>
                </pt>
              </strCache>
            </strRef>
          </tx>
          <spPr>
            <a:ln w="28800">
              <a:solidFill>
                <a:srgbClr val="E8A838"/>
              </a:solidFill>
              <a:prstDash val="solid"/>
            </a:ln>
          </spPr>
          <marker>
            <symbol val="diamond"/>
            <size val="7"/>
            <spPr>
              <a:solidFill>
                <a:srgbClr val="E8A838"/>
              </a:solidFill>
              <a:ln>
                <a:prstDash val="solid"/>
              </a:ln>
            </spPr>
          </marker>
          <cat>
            <strRef>
              <f>학교급식_월별실측!$B$6:$B$17</f>
              <strCache>
                <ptCount val="12"/>
                <pt idx="0">
                  <v>1월 ★</v>
                </pt>
                <pt idx="1">
                  <v>2월</v>
                </pt>
                <pt idx="2">
                  <v>3월</v>
                </pt>
                <pt idx="3">
                  <v>4월</v>
                </pt>
                <pt idx="4">
                  <v>5월</v>
                </pt>
                <pt idx="5">
                  <v>6월</v>
                </pt>
                <pt idx="6">
                  <v>7월 ★</v>
                </pt>
                <pt idx="7">
                  <v>8월</v>
                </pt>
                <pt idx="8">
                  <v>9월</v>
                </pt>
                <pt idx="9">
                  <v>10월</v>
                </pt>
                <pt idx="10">
                  <v>11월</v>
                </pt>
                <pt idx="11">
                  <v>12월 ★</v>
                </pt>
              </strCache>
            </strRef>
          </cat>
          <val>
            <numRef>
              <f>학교급식_월별실측!$I$6:$I$17</f>
              <numCache>
                <formatCode>#,##0</formatCode>
                <ptCount val="12"/>
                <pt idx="0">
                  <v>21179045</v>
                </pt>
                <pt idx="1">
                  <v>455953946</v>
                </pt>
                <pt idx="2">
                  <v>517582551</v>
                </pt>
                <pt idx="3">
                  <v>1225696000</v>
                </pt>
                <pt idx="4">
                  <v>600938592</v>
                </pt>
                <pt idx="5">
                  <v>885132674</v>
                </pt>
                <pt idx="6">
                  <v>86583411</v>
                </pt>
                <pt idx="7">
                  <v>682052148</v>
                </pt>
                <pt idx="8">
                  <v>975421732</v>
                </pt>
                <pt idx="9">
                  <v>1813312954</v>
                </pt>
                <pt idx="10">
                  <v>4196384189</v>
                </pt>
                <pt idx="11">
                  <v>83184444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marker val="1"/>
        <smooth val="0"/>
        <axId val="10"/>
        <axId val="100"/>
      </lineChart>
      <catAx>
        <axId val="10"/>
        <scaling>
          <orientation val="minMax"/>
        </scaling>
        <delete val="1"/>
        <axPos val="b"/>
        <title>
          <tx>
            <rich>
              <a:bodyPr/>
              <a:lstStyle/>
              <a:p>
                <a:pPr>
                  <a:defRPr/>
                </a:pPr>
                <a:r>
                  <a:rPr lang="ko-KR" altLang="en-US"/>
                  <a:t>월</a:t>
                </a:r>
              </a:p>
            </rich>
          </tx>
          <overlay val="1"/>
        </title>
        <numFmt formatCode="General" sourceLinked="1"/>
        <majorTickMark val="none"/>
        <minorTickMark val="none"/>
        <tickLblPos val="nextTo"/>
        <crossAx val="100"/>
        <crosses val="autoZero"/>
        <auto val="1"/>
        <lblAlgn val="ctr"/>
        <lblOffset val="100"/>
        <noMultiLvlLbl val="1"/>
      </catAx>
      <valAx>
        <axId val="100"/>
        <scaling>
          <orientation val="minMax"/>
        </scaling>
        <delete val="1"/>
        <axPos val="l"/>
        <majorGridlines/>
        <title>
          <tx>
            <rich>
              <a:bodyPr/>
              <a:lstStyle/>
              <a:p>
                <a:pPr>
                  <a:defRPr/>
                </a:pPr>
                <a:r>
                  <a:rPr lang="ko-KR" altLang="en-US"/>
                  <a:t xml:space="preserve">전국 학교급식 환산 </a:t>
                </a:r>
                <a:r>
                  <a:rPr lang="en-US" altLang="ko-KR"/>
                  <a:t>(</a:t>
                </a:r>
                <a:r>
                  <a:rPr lang="ko-KR" altLang="en-US"/>
                  <a:t>원</a:t>
                </a:r>
                <a:r>
                  <a:rPr lang="en-US" altLang="ko-KR"/>
                  <a:t>)</a:t>
                </a:r>
              </a:p>
            </rich>
          </tx>
          <overlay val="1"/>
        </title>
        <numFmt formatCode="#,##0" sourceLinked="1"/>
        <majorTickMark val="none"/>
        <minorTickMark val="none"/>
        <tickLblPos val="nextTo"/>
        <crossAx val="10"/>
        <crosses val="autoZero"/>
        <crossBetween val="between"/>
      </valAx>
    </plotArea>
    <legend>
      <legendPos val="r"/>
      <overlay val="1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20</row>
      <rowOff>0</rowOff>
    </from>
    <ext cx="9360000" cy="50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I19"/>
  <sheetViews>
    <sheetView showGridLines="0" tabSelected="1" workbookViewId="0">
      <selection activeCell="A1" sqref="A1"/>
    </sheetView>
  </sheetViews>
  <sheetFormatPr baseColWidth="8" defaultRowHeight="17.4"/>
  <cols>
    <col width="2" customWidth="1" style="61" min="1" max="1"/>
    <col width="10" customWidth="1" style="61" min="2" max="2"/>
    <col width="20" customWidth="1" style="61" min="3" max="3"/>
    <col width="10" customWidth="1" style="61" min="4" max="4"/>
    <col width="20" customWidth="1" style="61" min="5" max="5"/>
    <col width="14" customWidth="1" style="61" min="6" max="6"/>
    <col width="42" customWidth="1" style="61" min="7" max="7"/>
    <col width="18" customWidth="1" style="61" min="8" max="9"/>
  </cols>
  <sheetData>
    <row r="1" ht="37.95" customHeight="1" s="61">
      <c r="B1" s="53" t="inlineStr">
        <is>
          <t>【폭립】  학교급식 FoodnBid 월별 낙찰금액  (2025년 vs 2024년)</t>
        </is>
      </c>
      <c r="C1" s="54" t="n"/>
      <c r="D1" s="54" t="n"/>
      <c r="E1" s="54" t="n"/>
      <c r="F1" s="54" t="n"/>
      <c r="G1" s="54" t="n"/>
      <c r="H1" s="54" t="n"/>
      <c r="I1" s="55" t="n"/>
    </row>
    <row r="2" ht="19.95" customHeight="1" s="61">
      <c r="B2" s="1" t="inlineStr">
        <is>
          <t>수도권 FoodnBid 연간</t>
        </is>
      </c>
      <c r="C2" s="1" t="inlineStr">
        <is>
          <t>수도권 학교급식 추정</t>
        </is>
      </c>
      <c r="D2" s="2" t="inlineStr">
        <is>
          <t>전국 학교급식 추정</t>
        </is>
      </c>
      <c r="E2" s="3" t="inlineStr">
        <is>
          <t>전국 급식 전체</t>
        </is>
      </c>
      <c r="F2" s="4" t="inlineStr">
        <is>
          <t>2024년 전국급식</t>
        </is>
      </c>
      <c r="G2" s="3" t="inlineStr">
        <is>
          <t>전년 대비 성장</t>
        </is>
      </c>
    </row>
    <row r="3" ht="25.95" customHeight="1" s="61">
      <c r="B3" s="5" t="inlineStr">
        <is>
          <t>25.82억원</t>
        </is>
      </c>
      <c r="C3" s="5" t="inlineStr">
        <is>
          <t>43.03억원</t>
        </is>
      </c>
      <c r="D3" s="6" t="inlineStr">
        <is>
          <t>106.3억원</t>
        </is>
      </c>
      <c r="E3" s="7" t="inlineStr">
        <is>
          <t>약 130억원</t>
        </is>
      </c>
      <c r="F3" s="8" t="inlineStr">
        <is>
          <t>115.4억원</t>
        </is>
      </c>
      <c r="G3" s="7" t="inlineStr">
        <is>
          <t>▼ 8.0%</t>
        </is>
      </c>
    </row>
    <row r="4" ht="13.95" customHeight="1" s="61"/>
    <row r="5" ht="36" customHeight="1" s="61">
      <c r="B5" s="9" t="inlineStr">
        <is>
          <t>월</t>
        </is>
      </c>
      <c r="C5" s="9" t="inlineStr">
        <is>
          <t>FoodnBid 실측
(2025, 수도권, 원)</t>
        </is>
      </c>
      <c r="D5" s="9" t="inlineStr">
        <is>
          <t>비중
(%)</t>
        </is>
      </c>
      <c r="E5" s="9" t="inlineStr">
        <is>
          <t>FoodnBid 실측
(2024, 수도권, 원)</t>
        </is>
      </c>
      <c r="F5" s="9" t="inlineStr">
        <is>
          <t>전년
동월 대비</t>
        </is>
      </c>
      <c r="G5" s="9" t="inlineStr">
        <is>
          <t>경쟁사 TOP 3 (낙찰금액)</t>
        </is>
      </c>
      <c r="H5" s="4" t="inlineStr">
        <is>
          <t>2025 전국학교급식 환산</t>
        </is>
      </c>
      <c r="I5" s="4" t="inlineStr">
        <is>
          <t>2024 전국학교급식 환산</t>
        </is>
      </c>
    </row>
    <row r="6" ht="19.95" customHeight="1" s="61">
      <c r="B6" s="10" t="inlineStr">
        <is>
          <t>1월 ★</t>
        </is>
      </c>
      <c r="C6" s="11" t="n">
        <v>3904473</v>
      </c>
      <c r="D6" s="63" t="n">
        <v>0.002</v>
      </c>
      <c r="E6" s="11" t="n">
        <v>5146508</v>
      </c>
      <c r="F6" s="13" t="inlineStr">
        <is>
          <t>▼ 24.1%</t>
        </is>
      </c>
      <c r="G6" s="14" t="inlineStr">
        <is>
          <t>① 하늘빛 3,078,000원 | ② 대상 660,000원 | ③ 스마일푸드야미 111,600원</t>
        </is>
      </c>
      <c r="H6" s="15" t="n">
        <v>16067790</v>
      </c>
      <c r="I6" s="15" t="n">
        <v>21179045</v>
      </c>
    </row>
    <row r="7" ht="19.95" customHeight="1" s="61">
      <c r="B7" s="16" t="inlineStr">
        <is>
          <t>2월</t>
        </is>
      </c>
      <c r="C7" s="17" t="n">
        <v>126782581</v>
      </c>
      <c r="D7" s="64" t="n">
        <v>0.049</v>
      </c>
      <c r="E7" s="17" t="n">
        <v>110796809</v>
      </c>
      <c r="F7" s="19" t="inlineStr">
        <is>
          <t>▲ 14.4%</t>
        </is>
      </c>
      <c r="G7" s="20" t="inlineStr">
        <is>
          <t>① 하늘빛 30,518,181원 | ② 레인보우 17,229,874원 | ③ 파르팜 16,612,155원</t>
        </is>
      </c>
      <c r="H7" s="15" t="n">
        <v>521739016</v>
      </c>
      <c r="I7" s="15" t="n">
        <v>455953946</v>
      </c>
    </row>
    <row r="8" ht="19.95" customHeight="1" s="61">
      <c r="B8" s="16" t="inlineStr">
        <is>
          <t>3월</t>
        </is>
      </c>
      <c r="C8" s="17" t="n">
        <v>160937125</v>
      </c>
      <c r="D8" s="64" t="n">
        <v>0.062</v>
      </c>
      <c r="E8" s="17" t="n">
        <v>125772560</v>
      </c>
      <c r="F8" s="19" t="inlineStr">
        <is>
          <t>▲ 28.0%</t>
        </is>
      </c>
      <c r="G8" s="20" t="inlineStr">
        <is>
          <t>① 대상 43,116,260원 | ② 하늘빛 31,846,716원 | ③ 크로바 15,959,210원</t>
        </is>
      </c>
      <c r="H8" s="15" t="n">
        <v>662292695</v>
      </c>
      <c r="I8" s="15" t="n">
        <v>517582551</v>
      </c>
    </row>
    <row r="9" ht="19.95" customHeight="1" s="61">
      <c r="B9" s="16" t="inlineStr">
        <is>
          <t>4월</t>
        </is>
      </c>
      <c r="C9" s="17" t="n">
        <v>185337435</v>
      </c>
      <c r="D9" s="64" t="n">
        <v>0.07200000000000001</v>
      </c>
      <c r="E9" s="17" t="n">
        <v>297844128</v>
      </c>
      <c r="F9" s="13" t="inlineStr">
        <is>
          <t>▼ 37.8%</t>
        </is>
      </c>
      <c r="G9" s="20" t="inlineStr">
        <is>
          <t>① 참조은 24,890,861원 | ② 하늘빛 24,828,282원 | ③ 한올푸드 19,128,900원</t>
        </is>
      </c>
      <c r="H9" s="15" t="n">
        <v>762705493</v>
      </c>
      <c r="I9" s="15" t="n">
        <v>1225696000</v>
      </c>
    </row>
    <row r="10" ht="19.95" customHeight="1" s="61">
      <c r="B10" s="16" t="inlineStr">
        <is>
          <t>5월</t>
        </is>
      </c>
      <c r="C10" s="17" t="n">
        <v>141436885</v>
      </c>
      <c r="D10" s="64" t="n">
        <v>0.055</v>
      </c>
      <c r="E10" s="17" t="n">
        <v>146028078</v>
      </c>
      <c r="F10" s="13" t="inlineStr">
        <is>
          <t>▼ 3.1%</t>
        </is>
      </c>
      <c r="G10" s="20" t="inlineStr">
        <is>
          <t>① 참조은 20,689,920원 | ② 레인보우 18,520,920원 | ③ 하늘빛 17,245,035원</t>
        </is>
      </c>
      <c r="H10" s="15" t="n">
        <v>582044794</v>
      </c>
      <c r="I10" s="15" t="n">
        <v>600938592</v>
      </c>
    </row>
    <row r="11" ht="19.95" customHeight="1" s="61">
      <c r="B11" s="16" t="inlineStr">
        <is>
          <t>6월</t>
        </is>
      </c>
      <c r="C11" s="17" t="n">
        <v>242880498</v>
      </c>
      <c r="D11" s="64" t="n">
        <v>0.094</v>
      </c>
      <c r="E11" s="17" t="n">
        <v>215087240</v>
      </c>
      <c r="F11" s="19" t="inlineStr">
        <is>
          <t>▲ 12.9%</t>
        </is>
      </c>
      <c r="G11" s="20" t="inlineStr">
        <is>
          <t>① 하늘빛 50,024,952원 | ② 대상 43,938,165원 | ③ 크로바 36,800,372원</t>
        </is>
      </c>
      <c r="H11" s="15" t="n">
        <v>999508222</v>
      </c>
      <c r="I11" s="15" t="n">
        <v>885132674</v>
      </c>
    </row>
    <row r="12" ht="19.95" customHeight="1" s="61">
      <c r="B12" s="10" t="inlineStr">
        <is>
          <t>7월 ★</t>
        </is>
      </c>
      <c r="C12" s="11" t="n">
        <v>17159762</v>
      </c>
      <c r="D12" s="63" t="n">
        <v>0.006999999999999999</v>
      </c>
      <c r="E12" s="11" t="n">
        <v>21039769</v>
      </c>
      <c r="F12" s="13" t="inlineStr">
        <is>
          <t>▼ 18.4%</t>
        </is>
      </c>
      <c r="G12" s="14" t="inlineStr">
        <is>
          <t>① 참조은 5,702,400원 | ② 하늘빛 2,885,625원 | ③ 씨제이 2,400,300원</t>
        </is>
      </c>
      <c r="H12" s="15" t="n">
        <v>70616304</v>
      </c>
      <c r="I12" s="15" t="n">
        <v>86583411</v>
      </c>
    </row>
    <row r="13" ht="19.95" customHeight="1" s="61">
      <c r="B13" s="16" t="inlineStr">
        <is>
          <t>8월</t>
        </is>
      </c>
      <c r="C13" s="17" t="n">
        <v>234083296</v>
      </c>
      <c r="D13" s="64" t="n">
        <v>0.091</v>
      </c>
      <c r="E13" s="17" t="n">
        <v>165738672</v>
      </c>
      <c r="F13" s="19" t="inlineStr">
        <is>
          <t>▲ 41.2%</t>
        </is>
      </c>
      <c r="G13" s="20" t="inlineStr">
        <is>
          <t>① 한올푸드 34,535,050원 | ② 씨제이 25,123,800원 | ③ 하늘빛 24,250,671원</t>
        </is>
      </c>
      <c r="H13" s="15" t="n">
        <v>963305744</v>
      </c>
      <c r="I13" s="15" t="n">
        <v>682052148</v>
      </c>
    </row>
    <row r="14" ht="19.95" customHeight="1" s="61">
      <c r="B14" s="16" t="inlineStr">
        <is>
          <t>9월</t>
        </is>
      </c>
      <c r="C14" s="17" t="n">
        <v>262476426</v>
      </c>
      <c r="D14" s="64" t="n">
        <v>0.102</v>
      </c>
      <c r="E14" s="17" t="n">
        <v>237027481</v>
      </c>
      <c r="F14" s="19" t="inlineStr">
        <is>
          <t>▲ 10.7%</t>
        </is>
      </c>
      <c r="G14" s="20" t="inlineStr">
        <is>
          <t>① 하늘빛 64,049,794원 | ② 한올푸드 33,133,136원 | ③ 대상 32,284,945원</t>
        </is>
      </c>
      <c r="H14" s="15" t="n">
        <v>1080149901</v>
      </c>
      <c r="I14" s="15" t="n">
        <v>975421732</v>
      </c>
    </row>
    <row r="15" ht="19.95" customHeight="1" s="61">
      <c r="B15" s="16" t="inlineStr">
        <is>
          <t>10월</t>
        </is>
      </c>
      <c r="C15" s="17" t="n">
        <v>346379408</v>
      </c>
      <c r="D15" s="64" t="n">
        <v>0.134</v>
      </c>
      <c r="E15" s="17" t="n">
        <v>440635048</v>
      </c>
      <c r="F15" s="13" t="inlineStr">
        <is>
          <t>▼ 21.4%</t>
        </is>
      </c>
      <c r="G15" s="20" t="inlineStr">
        <is>
          <t>① 하늘빛 60,426,918원 | ② 한올푸드 55,770,692원 | ③ 참조은 41,500,224원</t>
        </is>
      </c>
      <c r="H15" s="15" t="n">
        <v>1425429662</v>
      </c>
      <c r="I15" s="15" t="n">
        <v>1813312954</v>
      </c>
    </row>
    <row r="16" ht="19.95" customHeight="1" s="61">
      <c r="B16" s="16" t="inlineStr">
        <is>
          <t>11월</t>
        </is>
      </c>
      <c r="C16" s="21" t="n">
        <v>849425876</v>
      </c>
      <c r="D16" s="64" t="n">
        <v>0.329</v>
      </c>
      <c r="E16" s="17" t="n">
        <v>1019721358</v>
      </c>
      <c r="F16" s="13" t="inlineStr">
        <is>
          <t>▼ 16.7%</t>
        </is>
      </c>
      <c r="G16" s="20" t="inlineStr">
        <is>
          <t>① 하늘빛 127,472,049원 | ② 한올푸드 108,108,468원 | ③ 참조은 88,164,000원</t>
        </is>
      </c>
      <c r="H16" s="15" t="n">
        <v>3495579736</v>
      </c>
      <c r="I16" s="15" t="n">
        <v>4196384189</v>
      </c>
    </row>
    <row r="17" ht="19.95" customHeight="1" s="61">
      <c r="B17" s="10" t="inlineStr">
        <is>
          <t>12월 ★</t>
        </is>
      </c>
      <c r="C17" s="11" t="n">
        <v>11088283</v>
      </c>
      <c r="D17" s="63" t="n">
        <v>0.004</v>
      </c>
      <c r="E17" s="11" t="n">
        <v>20213820</v>
      </c>
      <c r="F17" s="13" t="inlineStr">
        <is>
          <t>▼ 45.1%</t>
        </is>
      </c>
      <c r="G17" s="14" t="inlineStr">
        <is>
          <t>① 참조은 3,847,680원 | ② 파르팜 3,625,675원 | ③ 씨제이 1,313,736원</t>
        </is>
      </c>
      <c r="H17" s="15" t="n">
        <v>45630794</v>
      </c>
      <c r="I17" s="15" t="n">
        <v>83184444</v>
      </c>
    </row>
    <row r="18" ht="24" customHeight="1" s="61">
      <c r="B18" s="6" t="inlineStr">
        <is>
          <t>연간 합계</t>
        </is>
      </c>
      <c r="C18" s="22" t="n">
        <v>2581892048</v>
      </c>
      <c r="D18" s="65" t="n">
        <v>1</v>
      </c>
      <c r="E18" s="22" t="n">
        <v>2805051471</v>
      </c>
      <c r="F18" s="57" t="inlineStr">
        <is>
          <t>연간 25.82억원  |  전년(2024) 28.05억원  (수도권 FoodnBid 기준)</t>
        </is>
      </c>
      <c r="G18" s="55" t="n"/>
      <c r="H18" s="22" t="n">
        <v>10625070155</v>
      </c>
      <c r="I18" s="22" t="n">
        <v>11543421691</v>
      </c>
    </row>
    <row r="19" ht="13.95" customHeight="1" s="61">
      <c r="B19" s="56" t="inlineStr">
        <is>
          <t>※ 출처: FoodnBid info.foodnbid.com 월별예상금액 (수도권·서울·경기·인천 학교) | 수집일: 2026-04-24</t>
        </is>
      </c>
      <c r="C19" s="54" t="n"/>
      <c r="D19" s="54" t="n"/>
      <c r="E19" s="54" t="n"/>
      <c r="F19" s="54" t="n"/>
      <c r="G19" s="54" t="n"/>
      <c r="H19" s="54" t="n"/>
      <c r="I19" s="55" t="n"/>
    </row>
  </sheetData>
  <mergeCells count="3">
    <mergeCell ref="B1:I1"/>
    <mergeCell ref="B19:I19"/>
    <mergeCell ref="F18:G18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G25"/>
  <sheetViews>
    <sheetView showGridLines="0" workbookViewId="0">
      <selection activeCell="A1" sqref="A1"/>
    </sheetView>
  </sheetViews>
  <sheetFormatPr baseColWidth="8" defaultRowHeight="17.4"/>
  <cols>
    <col width="2" customWidth="1" style="61" min="1" max="1"/>
    <col width="30" customWidth="1" style="61" min="2" max="2"/>
    <col width="16" customWidth="1" style="61" min="3" max="3"/>
    <col width="12" customWidth="1" style="61" min="4" max="4"/>
    <col width="16" customWidth="1" style="61" min="5" max="5"/>
    <col width="12" customWidth="1" style="61" min="6" max="6"/>
    <col width="32" customWidth="1" style="61" min="7" max="7"/>
  </cols>
  <sheetData>
    <row r="1" ht="37.95" customHeight="1" s="61">
      <c r="B1" s="53" t="inlineStr">
        <is>
          <t>【폭립】  학교급식 시장 규모 환산  (2025년 vs 2024년 비교)</t>
        </is>
      </c>
      <c r="C1" s="54" t="n"/>
      <c r="D1" s="54" t="n"/>
      <c r="E1" s="54" t="n"/>
      <c r="F1" s="54" t="n"/>
      <c r="G1" s="55" t="n"/>
    </row>
    <row r="2" ht="10.05" customHeight="1" s="61"/>
    <row r="3" ht="30" customHeight="1" s="61">
      <c r="B3" s="9" t="inlineStr">
        <is>
          <t>구분</t>
        </is>
      </c>
      <c r="C3" s="9" t="inlineStr">
        <is>
          <t>2025년 수치</t>
        </is>
      </c>
      <c r="D3" s="9" t="inlineStr">
        <is>
          <t>2025년</t>
        </is>
      </c>
      <c r="E3" s="9" t="inlineStr">
        <is>
          <t>2024년 수치</t>
        </is>
      </c>
      <c r="F3" s="9" t="inlineStr">
        <is>
          <t>2024년</t>
        </is>
      </c>
      <c r="G3" s="9" t="inlineStr">
        <is>
          <t>비고</t>
        </is>
      </c>
    </row>
    <row r="4" ht="28.05" customHeight="1" s="61">
      <c r="B4" s="25" t="inlineStr">
        <is>
          <t>전국 급식 전체 (최종 추정)</t>
        </is>
      </c>
      <c r="C4" s="26" t="n">
        <v>13015710939</v>
      </c>
      <c r="D4" s="7" t="inlineStr">
        <is>
          <t>약 130억원</t>
        </is>
      </c>
      <c r="E4" s="27" t="n">
        <v>14140691571</v>
      </c>
      <c r="F4" s="8" t="inlineStr">
        <is>
          <t>약 141억원</t>
        </is>
      </c>
      <c r="G4" s="28" t="n"/>
    </row>
    <row r="5" ht="28.05" customHeight="1" s="61">
      <c r="B5" s="57" t="inlineStr">
        <is>
          <t>전국 학교급식</t>
        </is>
      </c>
      <c r="C5" s="22" t="n">
        <v>10625070155</v>
      </c>
      <c r="D5" s="6" t="inlineStr">
        <is>
          <t>106.3억원</t>
        </is>
      </c>
      <c r="E5" s="27" t="n">
        <v>11543421691</v>
      </c>
      <c r="F5" s="8" t="inlineStr">
        <is>
          <t>115.4억원</t>
        </is>
      </c>
      <c r="G5" s="28" t="n"/>
    </row>
    <row r="6" ht="28.05" customHeight="1" s="61">
      <c r="B6" s="59" t="inlineStr">
        <is>
          <t>수도권 학교급식</t>
        </is>
      </c>
      <c r="C6" s="30" t="n">
        <v>4303153413</v>
      </c>
      <c r="D6" s="5" t="inlineStr">
        <is>
          <t>43.03억원</t>
        </is>
      </c>
      <c r="E6" s="27" t="n">
        <v>4675085785</v>
      </c>
      <c r="F6" s="8" t="inlineStr">
        <is>
          <t>46.75억원</t>
        </is>
      </c>
      <c r="G6" s="28" t="n"/>
    </row>
    <row r="7" ht="28.05" customHeight="1" s="61">
      <c r="B7" s="59" t="inlineStr">
        <is>
          <t>FoodnBid 실측 (수도권)</t>
        </is>
      </c>
      <c r="C7" s="30" t="n">
        <v>2581892048</v>
      </c>
      <c r="D7" s="5" t="inlineStr">
        <is>
          <t>25.82억원</t>
        </is>
      </c>
      <c r="E7" s="27" t="n">
        <v>2805051471</v>
      </c>
      <c r="F7" s="8" t="inlineStr">
        <is>
          <t>28.05억원</t>
        </is>
      </c>
      <c r="G7" s="28" t="n"/>
    </row>
    <row r="9" ht="10.05" customHeight="1" s="61"/>
    <row r="10" ht="31.95" customHeight="1" s="61">
      <c r="B10" s="9" t="inlineStr">
        <is>
          <t>계산 단계</t>
        </is>
      </c>
      <c r="C10" s="9" t="inlineStr">
        <is>
          <t>2025년 수치 (원)</t>
        </is>
      </c>
      <c r="D10" s="9" t="inlineStr">
        <is>
          <t>2025년 억원</t>
        </is>
      </c>
      <c r="E10" s="9" t="inlineStr">
        <is>
          <t>2024년 수치 (원)</t>
        </is>
      </c>
      <c r="F10" s="9" t="inlineStr">
        <is>
          <t>2024년 억원</t>
        </is>
      </c>
      <c r="G10" s="9" t="inlineStr">
        <is>
          <t>산출 근거·가정</t>
        </is>
      </c>
    </row>
    <row r="11" ht="28.05" customHeight="1" s="61">
      <c r="B11" s="31" t="inlineStr">
        <is>
          <t>① 수도권 FoodnBid 연간 실측</t>
        </is>
      </c>
      <c r="C11" s="17" t="n">
        <v>2581892048</v>
      </c>
      <c r="D11" s="6" t="inlineStr">
        <is>
          <t>25.82억원</t>
        </is>
      </c>
      <c r="E11" s="27" t="n">
        <v>2805051471</v>
      </c>
      <c r="F11" s="8" t="inlineStr">
        <is>
          <t>28.05억원</t>
        </is>
      </c>
      <c r="G11" s="58" t="inlineStr">
        <is>
          <t>FoodnBid info.foodnbid.com 실측 (2025년 / 2024년 1~12월)</t>
        </is>
      </c>
    </row>
    <row r="12" ht="28.05" customHeight="1" s="61">
      <c r="B12" s="31" t="inlineStr">
        <is>
          <t>② ÷ FoodnBid 커버리지 60%  →  수도권 학교급식 시장</t>
        </is>
      </c>
      <c r="C12" s="17" t="n">
        <v>4303153413</v>
      </c>
      <c r="D12" s="6" t="inlineStr">
        <is>
          <t>43.03억원</t>
        </is>
      </c>
      <c r="E12" s="27" t="n">
        <v>4675085785</v>
      </c>
      <c r="F12" s="8" t="inlineStr">
        <is>
          <t>46.75억원</t>
        </is>
      </c>
      <c r="G12" s="58" t="inlineStr">
        <is>
          <t>FoodnBid가 수도권 학교급식의 약 60% 커버 (직계약·수의계약 제외)</t>
        </is>
      </c>
    </row>
    <row r="13" ht="28.05" customHeight="1" s="61">
      <c r="B13" s="31" t="inlineStr">
        <is>
          <t>③ ÷ 수도권 학생비율 40.5%  →  전국 학교급식 시장</t>
        </is>
      </c>
      <c r="C13" s="17" t="n">
        <v>10625070155</v>
      </c>
      <c r="D13" s="6" t="inlineStr">
        <is>
          <t>106.3억원</t>
        </is>
      </c>
      <c r="E13" s="27" t="n">
        <v>11543421691</v>
      </c>
      <c r="F13" s="8" t="inlineStr">
        <is>
          <t>115.4억원</t>
        </is>
      </c>
      <c r="G13" s="58" t="inlineStr">
        <is>
          <t>서울+경기 학생 수 / 전국 (교육통계서비스 2024)</t>
        </is>
      </c>
    </row>
    <row r="14" ht="28.05" customHeight="1" s="61">
      <c r="B14" s="31" t="inlineStr">
        <is>
          <t>④ 전국 단체급식 추가 (× 22.5%)</t>
        </is>
      </c>
      <c r="C14" s="17" t="n">
        <v>2390640784</v>
      </c>
      <c r="D14" s="6" t="inlineStr">
        <is>
          <t>23.9억원</t>
        </is>
      </c>
      <c r="E14" s="27" t="n">
        <v>2597269880</v>
      </c>
      <c r="F14" s="8" t="inlineStr">
        <is>
          <t>26.0억원</t>
        </is>
      </c>
      <c r="G14" s="58" t="inlineStr">
        <is>
          <t>군·병원·기업 단체급식, 학교급식 대비 약 22.5%</t>
        </is>
      </c>
    </row>
    <row r="15" ht="28.05" customHeight="1" s="61">
      <c r="B15" s="25" t="inlineStr">
        <is>
          <t>▶ 전국 급식 전체 합계 (최종)</t>
        </is>
      </c>
      <c r="C15" s="26" t="n">
        <v>13015710939</v>
      </c>
      <c r="D15" s="33" t="inlineStr">
        <is>
          <t>약 130억원</t>
        </is>
      </c>
      <c r="E15" s="27" t="n">
        <v>14140691571</v>
      </c>
      <c r="F15" s="8" t="inlineStr">
        <is>
          <t>약 141억원</t>
        </is>
      </c>
      <c r="G15" s="58" t="inlineStr">
        <is>
          <t>전국 학교급식 + 단체급식 합산</t>
        </is>
      </c>
    </row>
    <row r="17" ht="10.05" customHeight="1" s="61"/>
    <row r="18" ht="22.05" customHeight="1" s="61">
      <c r="B18" s="59" t="inlineStr">
        <is>
          <t>환산 방법론 및 주의사항</t>
        </is>
      </c>
      <c r="C18" s="54" t="n"/>
      <c r="D18" s="54" t="n"/>
      <c r="E18" s="54" t="n"/>
      <c r="F18" s="54" t="n"/>
      <c r="G18" s="55" t="n"/>
    </row>
    <row r="19" ht="19.95" customHeight="1" s="61">
      <c r="B19" s="58" t="inlineStr">
        <is>
          <t>• FoodnBid(info.foodnbid.com)는 수도권(서울·경기·인천) 학교급식 조달 플랫폼으로, 전체 수도권 학교급식의 약 60%를 커버합니다.</t>
        </is>
      </c>
      <c r="C19" s="54" t="n"/>
      <c r="D19" s="54" t="n"/>
      <c r="E19" s="54" t="n"/>
      <c r="F19" s="54" t="n"/>
      <c r="G19" s="55" t="n"/>
    </row>
    <row r="20" ht="19.95" customHeight="1" s="61">
      <c r="B20" s="58" t="inlineStr">
        <is>
          <t>• 수도권 학생 비율(40.5%)은 교육통계서비스 2024년 기준 초·중·고 재학생 수를 활용합니다.</t>
        </is>
      </c>
      <c r="C20" s="54" t="n"/>
      <c r="D20" s="54" t="n"/>
      <c r="E20" s="54" t="n"/>
      <c r="F20" s="54" t="n"/>
      <c r="G20" s="55" t="n"/>
    </row>
    <row r="21" ht="19.95" customHeight="1" s="61">
      <c r="B21" s="58" t="inlineStr">
        <is>
          <t>• 단체급식(군·병원·기업) 비중은 학교급식의 약 22.5%로 추정합니다 (업계 통상 기준).</t>
        </is>
      </c>
      <c r="C21" s="54" t="n"/>
      <c r="D21" s="54" t="n"/>
      <c r="E21" s="54" t="n"/>
      <c r="F21" s="54" t="n"/>
      <c r="G21" s="55" t="n"/>
    </row>
    <row r="22" ht="19.95" customHeight="1" s="61">
      <c r="B22" s="58" t="inlineStr">
        <is>
          <t>• 방학월(1·7·12월)은 학교 운영 없어 실측값이 매우 낮습니다 — 정상 데이터입니다.</t>
        </is>
      </c>
      <c r="C22" s="54" t="n"/>
      <c r="D22" s="54" t="n"/>
      <c r="E22" s="54" t="n"/>
      <c r="F22" s="54" t="n"/>
      <c r="G22" s="55" t="n"/>
    </row>
    <row r="23" ht="19.95" customHeight="1" s="61">
      <c r="B23" s="58" t="inlineStr">
        <is>
          <t>• 본 데이터는 2025년 및 2024년 FoodnBid 실측 기준이며, 연도별 편차가 존재할 수 있습니다.</t>
        </is>
      </c>
      <c r="C23" s="54" t="n"/>
      <c r="D23" s="54" t="n"/>
      <c r="E23" s="54" t="n"/>
      <c r="F23" s="54" t="n"/>
      <c r="G23" s="55" t="n"/>
    </row>
    <row r="25" ht="13.95" customHeight="1" s="61">
      <c r="B25" s="56" t="inlineStr">
        <is>
          <t>※ 출처: FoodnBid info.foodnbid.com | 교육통계서비스 kess.kedi.re.kr | 수집일: 2026-04-24</t>
        </is>
      </c>
      <c r="C25" s="54" t="n"/>
      <c r="D25" s="54" t="n"/>
      <c r="E25" s="54" t="n"/>
      <c r="F25" s="54" t="n"/>
      <c r="G25" s="55" t="n"/>
    </row>
  </sheetData>
  <mergeCells count="8">
    <mergeCell ref="B19:G19"/>
    <mergeCell ref="B20:G20"/>
    <mergeCell ref="B22:G22"/>
    <mergeCell ref="B23:G23"/>
    <mergeCell ref="B1:G1"/>
    <mergeCell ref="B18:G18"/>
    <mergeCell ref="B21:G21"/>
    <mergeCell ref="B25:G2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M17"/>
  <sheetViews>
    <sheetView showGridLines="0" workbookViewId="0">
      <selection activeCell="A1" sqref="A1"/>
    </sheetView>
  </sheetViews>
  <sheetFormatPr baseColWidth="8" defaultRowHeight="17.4"/>
  <cols>
    <col width="2" customWidth="1" style="61" min="1" max="1"/>
    <col width="8" customWidth="1" style="61" min="2" max="2"/>
    <col width="16" customWidth="1" style="61" min="3" max="13"/>
  </cols>
  <sheetData>
    <row r="1" ht="37.95" customHeight="1" s="61">
      <c r="B1" s="53" t="inlineStr">
        <is>
          <t>【폭립】  경쟁사 월별 낙찰현황  (2025년)</t>
        </is>
      </c>
      <c r="C1" s="54" t="n"/>
      <c r="D1" s="54" t="n"/>
      <c r="E1" s="54" t="n"/>
      <c r="F1" s="54" t="n"/>
      <c r="G1" s="54" t="n"/>
      <c r="H1" s="54" t="n"/>
      <c r="I1" s="54" t="n"/>
      <c r="J1" s="54" t="n"/>
      <c r="K1" s="54" t="n"/>
      <c r="L1" s="54" t="n"/>
      <c r="M1" s="55" t="n"/>
    </row>
    <row r="2" ht="31.95" customHeight="1" s="61">
      <c r="B2" s="9" t="inlineStr">
        <is>
          <t>월</t>
        </is>
      </c>
      <c r="C2" s="34" t="inlineStr">
        <is>
          <t>하늘빛
(16.9%)</t>
        </is>
      </c>
      <c r="D2" s="9" t="inlineStr">
        <is>
          <t>한올푸드
(11.3%)</t>
        </is>
      </c>
      <c r="E2" s="9" t="inlineStr">
        <is>
          <t>대상
(9.6%)</t>
        </is>
      </c>
      <c r="F2" s="9" t="inlineStr">
        <is>
          <t>참조은
(9.4%)</t>
        </is>
      </c>
      <c r="G2" s="9" t="inlineStr">
        <is>
          <t>크로바
(7.0%)</t>
        </is>
      </c>
      <c r="H2" s="9" t="inlineStr">
        <is>
          <t>씨제이
(6.8%)</t>
        </is>
      </c>
      <c r="I2" s="9" t="inlineStr">
        <is>
          <t>스마일푸드야미
(6.4%)</t>
        </is>
      </c>
      <c r="J2" s="9" t="inlineStr">
        <is>
          <t>원플러스원
(5.2%)</t>
        </is>
      </c>
      <c r="K2" s="9" t="inlineStr">
        <is>
          <t>레인보우
(4.8%)</t>
        </is>
      </c>
      <c r="L2" s="9" t="inlineStr">
        <is>
          <t>풀무원
(4.7%)</t>
        </is>
      </c>
      <c r="M2" s="6" t="inlineStr">
        <is>
          <t>월 합계</t>
        </is>
      </c>
    </row>
    <row r="3" ht="19.95" customHeight="1" s="61">
      <c r="B3" s="10" t="inlineStr">
        <is>
          <t>1월</t>
        </is>
      </c>
      <c r="C3" s="35" t="n">
        <v>3078000</v>
      </c>
      <c r="D3" s="11" t="n"/>
      <c r="E3" s="11" t="n">
        <v>660000</v>
      </c>
      <c r="F3" s="11" t="n"/>
      <c r="G3" s="11" t="n"/>
      <c r="H3" s="11" t="n"/>
      <c r="I3" s="11" t="n">
        <v>111600</v>
      </c>
      <c r="J3" s="11" t="n">
        <v>54873</v>
      </c>
      <c r="K3" s="11" t="n"/>
      <c r="L3" s="11" t="n"/>
      <c r="M3" s="36" t="n">
        <v>3904473</v>
      </c>
    </row>
    <row r="4" ht="19.95" customHeight="1" s="61">
      <c r="B4" s="16" t="inlineStr">
        <is>
          <t>2월</t>
        </is>
      </c>
      <c r="C4" s="35" t="n">
        <v>30518181</v>
      </c>
      <c r="D4" s="17" t="n">
        <v>3157800</v>
      </c>
      <c r="E4" s="17" t="n">
        <v>2481957</v>
      </c>
      <c r="F4" s="17" t="n">
        <v>11566800</v>
      </c>
      <c r="G4" s="17" t="n">
        <v>1914870</v>
      </c>
      <c r="H4" s="17" t="n">
        <v>2238525</v>
      </c>
      <c r="I4" s="17" t="n">
        <v>9286258</v>
      </c>
      <c r="J4" s="17" t="n">
        <v>11668293</v>
      </c>
      <c r="K4" s="17" t="n">
        <v>17229874</v>
      </c>
      <c r="L4" s="17" t="n">
        <v>12258593</v>
      </c>
      <c r="M4" s="22" t="n">
        <v>126782581</v>
      </c>
    </row>
    <row r="5" ht="19.95" customHeight="1" s="61">
      <c r="B5" s="16" t="inlineStr">
        <is>
          <t>3월</t>
        </is>
      </c>
      <c r="C5" s="17" t="n">
        <v>31846716</v>
      </c>
      <c r="D5" s="17" t="n">
        <v>12263450</v>
      </c>
      <c r="E5" s="35" t="n">
        <v>43116260</v>
      </c>
      <c r="F5" s="17" t="n">
        <v>3615840</v>
      </c>
      <c r="G5" s="17" t="n">
        <v>15959210</v>
      </c>
      <c r="H5" s="17" t="n">
        <v>7482825</v>
      </c>
      <c r="I5" s="17" t="n">
        <v>9824327</v>
      </c>
      <c r="J5" s="17" t="n">
        <v>13304819</v>
      </c>
      <c r="K5" s="17" t="n">
        <v>1890000</v>
      </c>
      <c r="L5" s="17" t="n">
        <v>13298892</v>
      </c>
      <c r="M5" s="22" t="n">
        <v>160937125</v>
      </c>
    </row>
    <row r="6" ht="19.95" customHeight="1" s="61">
      <c r="B6" s="16" t="inlineStr">
        <is>
          <t>4월</t>
        </is>
      </c>
      <c r="C6" s="17" t="n">
        <v>24828282</v>
      </c>
      <c r="D6" s="17" t="n">
        <v>19128900</v>
      </c>
      <c r="E6" s="17" t="n">
        <v>18849490</v>
      </c>
      <c r="F6" s="35" t="n">
        <v>24890861</v>
      </c>
      <c r="G6" s="17" t="n">
        <v>16429249</v>
      </c>
      <c r="H6" s="17" t="n">
        <v>14632627</v>
      </c>
      <c r="I6" s="17" t="n">
        <v>11779390</v>
      </c>
      <c r="J6" s="17" t="n">
        <v>14555595</v>
      </c>
      <c r="K6" s="17" t="n">
        <v>10607625</v>
      </c>
      <c r="L6" s="17" t="n">
        <v>7177971</v>
      </c>
      <c r="M6" s="22" t="n">
        <v>185337435</v>
      </c>
    </row>
    <row r="7" ht="19.95" customHeight="1" s="61">
      <c r="B7" s="16" t="inlineStr">
        <is>
          <t>5월</t>
        </is>
      </c>
      <c r="C7" s="17" t="n">
        <v>17245035</v>
      </c>
      <c r="D7" s="17" t="n">
        <v>7685600</v>
      </c>
      <c r="E7" s="17" t="n"/>
      <c r="F7" s="35" t="n">
        <v>20689920</v>
      </c>
      <c r="G7" s="17" t="n">
        <v>8987990</v>
      </c>
      <c r="H7" s="17" t="n">
        <v>10046911</v>
      </c>
      <c r="I7" s="17" t="n">
        <v>8171464</v>
      </c>
      <c r="J7" s="17" t="n">
        <v>13943475</v>
      </c>
      <c r="K7" s="17" t="n">
        <v>18520920</v>
      </c>
      <c r="L7" s="17" t="n">
        <v>9483565</v>
      </c>
      <c r="M7" s="22" t="n">
        <v>141436885</v>
      </c>
    </row>
    <row r="8" ht="19.95" customHeight="1" s="61">
      <c r="B8" s="16" t="inlineStr">
        <is>
          <t>6월</t>
        </is>
      </c>
      <c r="C8" s="35" t="n">
        <v>50024952</v>
      </c>
      <c r="D8" s="17" t="n">
        <v>18050840</v>
      </c>
      <c r="E8" s="17" t="n">
        <v>43938165</v>
      </c>
      <c r="F8" s="17" t="n">
        <v>13867200</v>
      </c>
      <c r="G8" s="17" t="n">
        <v>36800372</v>
      </c>
      <c r="H8" s="17" t="n"/>
      <c r="I8" s="17" t="n">
        <v>18259963</v>
      </c>
      <c r="J8" s="17" t="n">
        <v>13706374</v>
      </c>
      <c r="K8" s="17" t="n">
        <v>10285110</v>
      </c>
      <c r="L8" s="17" t="n">
        <v>9254948</v>
      </c>
      <c r="M8" s="22" t="n">
        <v>242880498</v>
      </c>
    </row>
    <row r="9" ht="19.95" customHeight="1" s="61">
      <c r="B9" s="10" t="inlineStr">
        <is>
          <t>7월</t>
        </is>
      </c>
      <c r="C9" s="11" t="n">
        <v>2885625</v>
      </c>
      <c r="D9" s="11" t="n"/>
      <c r="E9" s="11" t="n">
        <v>1386000</v>
      </c>
      <c r="F9" s="35" t="n">
        <v>5702400</v>
      </c>
      <c r="G9" s="11" t="n"/>
      <c r="H9" s="11" t="n">
        <v>2400300</v>
      </c>
      <c r="I9" s="11" t="n"/>
      <c r="J9" s="11" t="n">
        <v>728910</v>
      </c>
      <c r="K9" s="11" t="n"/>
      <c r="L9" s="11" t="n">
        <v>1752527</v>
      </c>
      <c r="M9" s="36" t="n">
        <v>17159762</v>
      </c>
    </row>
    <row r="10" ht="19.95" customHeight="1" s="61">
      <c r="B10" s="16" t="inlineStr">
        <is>
          <t>8월</t>
        </is>
      </c>
      <c r="C10" s="17" t="n">
        <v>24250671</v>
      </c>
      <c r="D10" s="35" t="n">
        <v>34535050</v>
      </c>
      <c r="E10" s="17" t="n">
        <v>6420150</v>
      </c>
      <c r="F10" s="17" t="n">
        <v>21063465</v>
      </c>
      <c r="G10" s="17" t="n">
        <v>20502659</v>
      </c>
      <c r="H10" s="17" t="n">
        <v>25123800</v>
      </c>
      <c r="I10" s="17" t="n">
        <v>20267260</v>
      </c>
      <c r="J10" s="17" t="n">
        <v>15872548</v>
      </c>
      <c r="K10" s="17" t="n"/>
      <c r="L10" s="17" t="n">
        <v>17226949</v>
      </c>
      <c r="M10" s="22" t="n">
        <v>234083296</v>
      </c>
    </row>
    <row r="11" ht="19.95" customHeight="1" s="61">
      <c r="B11" s="16" t="inlineStr">
        <is>
          <t>9월</t>
        </is>
      </c>
      <c r="C11" s="35" t="n">
        <v>64049794</v>
      </c>
      <c r="D11" s="17" t="n">
        <v>33133136</v>
      </c>
      <c r="E11" s="17" t="n">
        <v>32284945</v>
      </c>
      <c r="F11" s="17" t="n">
        <v>8000640</v>
      </c>
      <c r="G11" s="17" t="n">
        <v>15936620</v>
      </c>
      <c r="H11" s="17" t="n">
        <v>6095000</v>
      </c>
      <c r="I11" s="17" t="n">
        <v>26648714</v>
      </c>
      <c r="J11" s="17" t="n">
        <v>12864852</v>
      </c>
      <c r="K11" s="17" t="n">
        <v>19409368</v>
      </c>
      <c r="L11" s="17" t="n">
        <v>6138706</v>
      </c>
      <c r="M11" s="22" t="n">
        <v>262476426</v>
      </c>
    </row>
    <row r="12" ht="19.95" customHeight="1" s="61">
      <c r="B12" s="16" t="inlineStr">
        <is>
          <t>10월</t>
        </is>
      </c>
      <c r="C12" s="35" t="n">
        <v>60426918</v>
      </c>
      <c r="D12" s="17" t="n">
        <v>55770692</v>
      </c>
      <c r="E12" s="17" t="n">
        <v>38188084</v>
      </c>
      <c r="F12" s="17" t="n">
        <v>41500224</v>
      </c>
      <c r="G12" s="17" t="n">
        <v>27357341</v>
      </c>
      <c r="H12" s="17" t="n">
        <v>17847770</v>
      </c>
      <c r="I12" s="17" t="n">
        <v>10988487</v>
      </c>
      <c r="J12" s="17" t="n">
        <v>14492550</v>
      </c>
      <c r="K12" s="17" t="n">
        <v>5584176</v>
      </c>
      <c r="L12" s="17" t="n">
        <v>21427252</v>
      </c>
      <c r="M12" s="22" t="n">
        <v>346379408</v>
      </c>
    </row>
    <row r="13" ht="19.95" customHeight="1" s="61">
      <c r="B13" s="16" t="inlineStr">
        <is>
          <t>11월</t>
        </is>
      </c>
      <c r="C13" s="35" t="n">
        <v>127472049</v>
      </c>
      <c r="D13" s="17" t="n">
        <v>108108468</v>
      </c>
      <c r="E13" s="17" t="n">
        <v>59285490</v>
      </c>
      <c r="F13" s="17" t="n">
        <v>88164000</v>
      </c>
      <c r="G13" s="17" t="n">
        <v>36261560</v>
      </c>
      <c r="H13" s="17" t="n">
        <v>87782095</v>
      </c>
      <c r="I13" s="17" t="n">
        <v>50687855</v>
      </c>
      <c r="J13" s="17" t="n">
        <v>22474589</v>
      </c>
      <c r="K13" s="17" t="n">
        <v>39455878</v>
      </c>
      <c r="L13" s="17" t="n">
        <v>22856127</v>
      </c>
      <c r="M13" s="22" t="n">
        <v>849425876</v>
      </c>
    </row>
    <row r="14" ht="19.95" customHeight="1" s="61">
      <c r="B14" s="10" t="inlineStr">
        <is>
          <t>12월</t>
        </is>
      </c>
      <c r="C14" s="11" t="n">
        <v>846450</v>
      </c>
      <c r="D14" s="11" t="n"/>
      <c r="E14" s="11" t="n"/>
      <c r="F14" s="35" t="n">
        <v>3847680</v>
      </c>
      <c r="G14" s="11" t="n"/>
      <c r="H14" s="11" t="n">
        <v>1313736</v>
      </c>
      <c r="I14" s="11" t="n"/>
      <c r="J14" s="11" t="n">
        <v>335790</v>
      </c>
      <c r="K14" s="11" t="n"/>
      <c r="L14" s="11" t="n">
        <v>425952</v>
      </c>
      <c r="M14" s="36" t="n">
        <v>11088283</v>
      </c>
    </row>
    <row r="15" ht="25.95" customHeight="1" s="61">
      <c r="B15" s="6" t="inlineStr">
        <is>
          <t>연간 합계</t>
        </is>
      </c>
      <c r="C15" s="22" t="n">
        <v>437472673</v>
      </c>
      <c r="D15" s="22" t="n">
        <v>291833936</v>
      </c>
      <c r="E15" s="22" t="n">
        <v>246610541</v>
      </c>
      <c r="F15" s="22" t="n">
        <v>242909030</v>
      </c>
      <c r="G15" s="22" t="n">
        <v>180149871</v>
      </c>
      <c r="H15" s="22" t="n">
        <v>174963589</v>
      </c>
      <c r="I15" s="22" t="n">
        <v>166025318</v>
      </c>
      <c r="J15" s="22" t="n">
        <v>134002668</v>
      </c>
      <c r="K15" s="22" t="n">
        <v>122982951</v>
      </c>
      <c r="L15" s="22" t="n">
        <v>121301482</v>
      </c>
      <c r="M15" s="22" t="n">
        <v>2581892048</v>
      </c>
    </row>
    <row r="16" ht="16.05" customHeight="1" s="61">
      <c r="C16" s="1" t="inlineStr">
        <is>
          <t>점유율 16.9%</t>
        </is>
      </c>
      <c r="D16" s="1" t="inlineStr">
        <is>
          <t>점유율 11.3%</t>
        </is>
      </c>
      <c r="E16" s="1" t="inlineStr">
        <is>
          <t>점유율 9.6%</t>
        </is>
      </c>
      <c r="F16" s="1" t="inlineStr">
        <is>
          <t>점유율 9.4%</t>
        </is>
      </c>
      <c r="G16" s="1" t="inlineStr">
        <is>
          <t>점유율 7.0%</t>
        </is>
      </c>
      <c r="H16" s="1" t="inlineStr">
        <is>
          <t>점유율 6.8%</t>
        </is>
      </c>
      <c r="I16" s="1" t="inlineStr">
        <is>
          <t>점유율 6.4%</t>
        </is>
      </c>
      <c r="J16" s="1" t="inlineStr">
        <is>
          <t>점유율 5.2%</t>
        </is>
      </c>
      <c r="K16" s="1" t="inlineStr">
        <is>
          <t>점유율 4.8%</t>
        </is>
      </c>
      <c r="L16" s="1" t="inlineStr">
        <is>
          <t>점유율 4.7%</t>
        </is>
      </c>
    </row>
    <row r="17" ht="13.95" customHeight="1" s="61">
      <c r="B17" s="56" t="inlineStr">
        <is>
          <t>※ 분홍색 셀 = 해당 월 1위 낙찰사  |  출처: FoodnBid info.foodnbid.com  |  수집일: 2026-04-24</t>
        </is>
      </c>
      <c r="C17" s="54" t="n"/>
      <c r="D17" s="54" t="n"/>
      <c r="E17" s="54" t="n"/>
      <c r="F17" s="54" t="n"/>
      <c r="G17" s="54" t="n"/>
      <c r="H17" s="54" t="n"/>
      <c r="I17" s="54" t="n"/>
      <c r="J17" s="54" t="n"/>
      <c r="K17" s="54" t="n"/>
      <c r="L17" s="54" t="n"/>
      <c r="M17" s="55" t="n"/>
    </row>
  </sheetData>
  <mergeCells count="2">
    <mergeCell ref="B17:M17"/>
    <mergeCell ref="B1:M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1:G12"/>
  <sheetViews>
    <sheetView workbookViewId="0">
      <selection activeCell="A1" sqref="A1"/>
    </sheetView>
  </sheetViews>
  <sheetFormatPr baseColWidth="8" defaultRowHeight="15"/>
  <cols>
    <col width="2" customWidth="1" style="61" min="1" max="1"/>
    <col width="15" customWidth="1" style="61" min="2" max="2"/>
    <col width="24" customWidth="1" style="61" min="3" max="3"/>
    <col width="24" customWidth="1" style="61" min="4" max="4"/>
    <col width="24" customWidth="1" style="61" min="5" max="5"/>
    <col width="24" customWidth="1" style="61" min="6" max="6"/>
    <col width="24" customWidth="1" style="61" min="7" max="7"/>
  </cols>
  <sheetData>
    <row r="1" ht="40" customHeight="1" s="61">
      <c r="B1" s="66" t="inlineStr">
        <is>
          <t>【폭립】  경쟁사 제품 비교  (2025년 FoodnBid 기준)</t>
        </is>
      </c>
    </row>
    <row r="2" ht="26" customHeight="1" s="61">
      <c r="B2" s="67" t="inlineStr">
        <is>
          <t>항목</t>
        </is>
      </c>
      <c r="C2" s="68" t="inlineStr">
        <is>
          <t>학교급식 1위</t>
        </is>
      </c>
      <c r="D2" s="69" t="inlineStr">
        <is>
          <t>학교급식 2위</t>
        </is>
      </c>
      <c r="E2" s="70" t="inlineStr">
        <is>
          <t>학교급식 3위</t>
        </is>
      </c>
      <c r="F2" s="71" t="inlineStr">
        <is>
          <t>학교급식 4위</t>
        </is>
      </c>
      <c r="G2" s="72" t="inlineStr">
        <is>
          <t>학교급식 5위</t>
        </is>
      </c>
    </row>
    <row r="3" ht="90" customHeight="1" s="61">
      <c r="B3" s="73" t="inlineStr">
        <is>
          <t>제품
이미지</t>
        </is>
      </c>
      <c r="C3" s="74" t="inlineStr">
        <is>
          <t>[ 제품 이미지
직접 삽입 ]</t>
        </is>
      </c>
      <c r="D3" s="74" t="inlineStr">
        <is>
          <t>[ 제품 이미지
직접 삽입 ]</t>
        </is>
      </c>
      <c r="E3" s="74" t="inlineStr">
        <is>
          <t>[ 제품 이미지
직접 삽입 ]</t>
        </is>
      </c>
      <c r="F3" s="74" t="inlineStr">
        <is>
          <t>[ 제품 이미지
직접 삽입 ]</t>
        </is>
      </c>
      <c r="G3" s="74" t="inlineStr">
        <is>
          <t>[ 제품 이미지
직접 삽입 ]</t>
        </is>
      </c>
    </row>
    <row r="4" ht="26" customHeight="1" s="61">
      <c r="B4" s="67" t="inlineStr">
        <is>
          <t>업체명</t>
        </is>
      </c>
      <c r="C4" s="68" t="inlineStr">
        <is>
          <t>하늘빛</t>
        </is>
      </c>
      <c r="D4" s="69" t="inlineStr">
        <is>
          <t>한올푸드</t>
        </is>
      </c>
      <c r="E4" s="70" t="inlineStr">
        <is>
          <t>대상</t>
        </is>
      </c>
      <c r="F4" s="71" t="inlineStr">
        <is>
          <t>참조은</t>
        </is>
      </c>
      <c r="G4" s="72" t="inlineStr">
        <is>
          <t>크로바</t>
        </is>
      </c>
    </row>
    <row r="5" ht="56" customHeight="1" s="61">
      <c r="B5" s="73" t="inlineStr">
        <is>
          <t>제품명</t>
        </is>
      </c>
      <c r="C5" s="75" t="inlineStr">
        <is>
          <t>데리야끼바베큐폭립(국내산) &lt;미니와플해쉬브라운증정&gt;</t>
        </is>
      </c>
      <c r="D5" s="75" t="inlineStr">
        <is>
          <t>베이비백립(폭립) (200g±10)</t>
        </is>
      </c>
      <c r="E5" s="75" t="inlineStr">
        <is>
          <t>쉐프원 우리돼지로만든바베큐폭립 1kg</t>
        </is>
      </c>
      <c r="F5" s="75" t="inlineStr">
        <is>
          <t>명품등갈비바베큐폭립 (수입산-부정형)</t>
        </is>
      </c>
      <c r="G5" s="75" t="inlineStr">
        <is>
          <t>크로바- 국산 프리미엄 폭립(정통바베큐맛) 50g</t>
        </is>
      </c>
    </row>
    <row r="6" ht="32" customHeight="1" s="61">
      <c r="B6" s="73" t="inlineStr">
        <is>
          <t>중량</t>
        </is>
      </c>
      <c r="C6" s="76" t="inlineStr">
        <is>
          <t>확인 필요</t>
        </is>
      </c>
      <c r="D6" s="76" t="inlineStr">
        <is>
          <t>200g±10</t>
        </is>
      </c>
      <c r="E6" s="76" t="inlineStr">
        <is>
          <t>1kg</t>
        </is>
      </c>
      <c r="F6" s="76" t="inlineStr">
        <is>
          <t>확인 필요</t>
        </is>
      </c>
      <c r="G6" s="76" t="inlineStr">
        <is>
          <t>50g/개</t>
        </is>
      </c>
    </row>
    <row r="7" ht="36" customHeight="1" s="61">
      <c r="B7" s="73" t="inlineStr">
        <is>
          <t>FoodnBid
방학제외 월평균</t>
        </is>
      </c>
      <c r="C7" s="77" t="inlineStr">
        <is>
          <t>47,851,399원</t>
        </is>
      </c>
      <c r="D7" s="77" t="inlineStr">
        <is>
          <t>32,425,992원</t>
        </is>
      </c>
      <c r="E7" s="77" t="inlineStr">
        <is>
          <t>30,570,567원</t>
        </is>
      </c>
      <c r="F7" s="77" t="inlineStr">
        <is>
          <t>25,928,772원</t>
        </is>
      </c>
      <c r="G7" s="77" t="inlineStr">
        <is>
          <t>20,016,652원</t>
        </is>
      </c>
    </row>
    <row r="8" ht="70" customHeight="1" s="61">
      <c r="B8" s="73" t="inlineStr">
        <is>
          <t>원재료 TOP3
(육함량 직접 기재)</t>
        </is>
      </c>
      <c r="C8" s="78" t="inlineStr">
        <is>
          <t>① 돼지고기(등갈비, 국내산) - 육함량: 직접 기재
② 바베큐소스(간장·설탕·물엿 등)
③ 향신료(마늘·양파·계피 등)</t>
        </is>
      </c>
      <c r="D8" s="78" t="inlineStr">
        <is>
          <t>① 돼지고기(등갈비, 국내산) - 육함량: 직접 기재
② 바베큐소스(간장·설탕·물엿 등)
③ 향신료(마늘·양파·계피 등)</t>
        </is>
      </c>
      <c r="E8" s="78" t="inlineStr">
        <is>
          <t>① 돼지고기(등갈비, 국내산) - 육함량: 직접 기재
② 바베큐소스(간장·설탕·물엿 등)
③ 향신료(마늘·양파·계피 등)</t>
        </is>
      </c>
      <c r="F8" s="78" t="inlineStr">
        <is>
          <t>① 돼지고기(등갈비, 수입산) - 육함량: 직접 기재
② 바베큐소스(간장·설탕·물엿 등)
③ 향신료(마늘·양파·계피 등)</t>
        </is>
      </c>
      <c r="G8" s="78" t="inlineStr">
        <is>
          <t>① 돼지고기(등갈비, 국내산) - 육함량: 직접 기재
② 바베큐소스(간장·설탕·물엿 등)
③ 향신료(마늘·양파·계피 등)</t>
        </is>
      </c>
    </row>
    <row r="9" ht="28" customHeight="1" s="61">
      <c r="B9" s="73" t="inlineStr">
        <is>
          <t>원산지</t>
        </is>
      </c>
      <c r="C9" s="79" t="inlineStr">
        <is>
          <t>국내산</t>
        </is>
      </c>
      <c r="D9" s="79" t="inlineStr">
        <is>
          <t>국내산</t>
        </is>
      </c>
      <c r="E9" s="79" t="inlineStr">
        <is>
          <t>국내산</t>
        </is>
      </c>
      <c r="F9" s="80" t="inlineStr">
        <is>
          <t>수입산</t>
        </is>
      </c>
      <c r="G9" s="79" t="inlineStr">
        <is>
          <t>국내산</t>
        </is>
      </c>
    </row>
    <row r="10" ht="44" customHeight="1" s="61">
      <c r="B10" s="73" t="inlineStr">
        <is>
          <t>블루시스
학교kg단가</t>
        </is>
      </c>
      <c r="C10" s="81" t="inlineStr">
        <is>
          <t>42,750원/kg</t>
        </is>
      </c>
      <c r="D10" s="81" t="inlineStr">
        <is>
          <t>블루시스 미등록</t>
        </is>
      </c>
      <c r="E10" s="81" t="inlineStr">
        <is>
          <t>39,220원/kg</t>
        </is>
      </c>
      <c r="F10" s="81" t="inlineStr">
        <is>
          <t>29,840원/kg</t>
        </is>
      </c>
      <c r="G10" s="81" t="inlineStr">
        <is>
          <t>39,070원/kg</t>
        </is>
      </c>
    </row>
    <row r="11" ht="44" customHeight="1" s="61">
      <c r="B11" s="73" t="inlineStr">
        <is>
          <t>특이사항</t>
        </is>
      </c>
      <c r="C11" s="82" t="inlineStr"/>
      <c r="D11" s="82" t="inlineStr"/>
      <c r="E11" s="82" t="inlineStr"/>
      <c r="F11" s="82" t="inlineStr"/>
      <c r="G11" s="82" t="inlineStr"/>
    </row>
    <row r="12" ht="20" customHeight="1" s="61">
      <c r="B12" s="83" t="inlineStr">
        <is>
          <t>※ 출처: FoodnBid info.foodnbid.com  |  방학제외 = 1·7·12월 제외  |  블루시스 학교kg단가: market.bluesis.com 자동수집 (2026-04-29 기준)  |  이미지·육함량: 직접 입력  |  수집일: 2026-04-29</t>
        </is>
      </c>
    </row>
  </sheetData>
  <mergeCells count="2">
    <mergeCell ref="B12:G12"/>
    <mergeCell ref="B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2026-04-24T02:38:36Z</dcterms:created>
  <dcterms:modified xsi:type="dcterms:W3CDTF">2026-04-29T02:02:56Z</dcterms:modified>
  <cp:lastModifiedBy>이종원님</cp:lastModifiedBy>
</cp:coreProperties>
</file>